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2695" documentId="13_ncr:1_{8CCFD1E3-719E-4C10-96BD-950107C648A6}" xr6:coauthVersionLast="47" xr6:coauthVersionMax="47" xr10:uidLastSave="{ABFEABB0-9C67-415B-B1EA-575F6962D77F}"/>
  <bookViews>
    <workbookView xWindow="30" yWindow="-16320" windowWidth="29040" windowHeight="15720" tabRatio="74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82" i="1" l="1"/>
  <c r="C571" i="9" a="1"/>
  <c r="C571" i="9"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6" i="12" a="1"/>
  <c r="E16" i="12" s="1"/>
  <c r="E17" i="12" a="1"/>
  <c r="E17" i="12" s="1"/>
  <c r="E18" i="12" a="1"/>
  <c r="E18" i="12" s="1"/>
  <c r="E19" i="12" a="1"/>
  <c r="E19" i="12" s="1"/>
  <c r="E20" i="12" a="1"/>
  <c r="E20" i="12" s="1"/>
  <c r="E21" i="12" a="1"/>
  <c r="E21" i="12" s="1"/>
  <c r="E22" i="12" a="1"/>
  <c r="E22" i="12" s="1"/>
  <c r="E23" i="12" a="1"/>
  <c r="E23" i="12" s="1"/>
  <c r="E24" i="12" a="1"/>
  <c r="E24" i="12" s="1"/>
  <c r="W5" i="1"/>
  <c r="W79" i="1"/>
  <c r="W78" i="1"/>
  <c r="D24" i="12" s="1" a="1"/>
  <c r="D24" i="12" s="1"/>
  <c r="F24" i="12" s="1"/>
  <c r="W77" i="1"/>
  <c r="D23" i="12" s="1" a="1"/>
  <c r="D23" i="12" s="1"/>
  <c r="F23" i="12" s="1"/>
  <c r="W76" i="1"/>
  <c r="W75" i="1"/>
  <c r="W74" i="1"/>
  <c r="D22" i="12" s="1" a="1"/>
  <c r="D22" i="12" s="1"/>
  <c r="G22" i="12" s="1"/>
  <c r="W73" i="1"/>
  <c r="W72" i="1"/>
  <c r="W71" i="1"/>
  <c r="W70" i="1"/>
  <c r="W69" i="1"/>
  <c r="D21" i="12" s="1" a="1"/>
  <c r="D21" i="12" s="1"/>
  <c r="W68" i="1"/>
  <c r="D20" i="12" s="1" a="1"/>
  <c r="D20" i="12" s="1"/>
  <c r="F20" i="12" s="1"/>
  <c r="W67" i="1"/>
  <c r="D19" i="12" s="1" a="1"/>
  <c r="D19" i="12" s="1"/>
  <c r="G19" i="12" s="1"/>
  <c r="W66" i="1"/>
  <c r="D18" i="12" s="1" a="1"/>
  <c r="D18" i="12" s="1"/>
  <c r="F18" i="12" s="1"/>
  <c r="W65" i="1"/>
  <c r="W64" i="1"/>
  <c r="W63" i="1"/>
  <c r="D16" i="12" s="1" a="1"/>
  <c r="D16" i="12" s="1"/>
  <c r="G16" i="12" s="1"/>
  <c r="W62" i="1"/>
  <c r="W61" i="1"/>
  <c r="W60" i="1"/>
  <c r="W59" i="1"/>
  <c r="D15" i="12" s="1" a="1"/>
  <c r="D15" i="12" s="1"/>
  <c r="F15" i="12" s="1"/>
  <c r="W58" i="1"/>
  <c r="W57" i="1"/>
  <c r="W56" i="1"/>
  <c r="W55" i="1"/>
  <c r="D14" i="12" s="1" a="1"/>
  <c r="D14" i="12" s="1"/>
  <c r="F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F11" i="12" s="1"/>
  <c r="W33" i="1"/>
  <c r="W32" i="1"/>
  <c r="W31" i="1"/>
  <c r="W30" i="1"/>
  <c r="W29" i="1"/>
  <c r="W28" i="1"/>
  <c r="W27" i="1"/>
  <c r="W26" i="1"/>
  <c r="W25" i="1"/>
  <c r="D7" i="12" s="1" a="1"/>
  <c r="D7" i="12" s="1"/>
  <c r="W24" i="1"/>
  <c r="W23" i="1"/>
  <c r="W22" i="1"/>
  <c r="D6" i="12" s="1" a="1"/>
  <c r="D6" i="12" s="1"/>
  <c r="G6" i="12" s="1"/>
  <c r="W21" i="1"/>
  <c r="D5" i="12" s="1" a="1"/>
  <c r="D5" i="12" s="1"/>
  <c r="G5" i="12" s="1"/>
  <c r="W20" i="1"/>
  <c r="W19" i="1"/>
  <c r="W18" i="1"/>
  <c r="W17" i="1"/>
  <c r="W16" i="1"/>
  <c r="W15" i="1"/>
  <c r="W14" i="1"/>
  <c r="D3" i="12" s="1" a="1"/>
  <c r="D3" i="12" s="1"/>
  <c r="G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F21" i="12" l="1"/>
  <c r="F6" i="12"/>
  <c r="H6" i="12" s="1"/>
  <c r="F7" i="12"/>
  <c r="H7" i="12" s="1"/>
  <c r="K7" i="12" s="1"/>
  <c r="F3" i="12"/>
  <c r="H3" i="12" s="1"/>
  <c r="F22" i="12"/>
  <c r="H22" i="12" s="1"/>
  <c r="F16" i="12"/>
  <c r="F19" i="12"/>
  <c r="F5" i="12"/>
  <c r="H5" i="12" s="1"/>
  <c r="F13" i="12"/>
  <c r="G20" i="12"/>
  <c r="G24" i="12"/>
  <c r="G21" i="12"/>
  <c r="G18" i="12"/>
  <c r="H18" i="12" s="1"/>
  <c r="D12" i="12" a="1"/>
  <c r="D12" i="12" s="1"/>
  <c r="G12" i="12" s="1"/>
  <c r="D17" i="12" a="1"/>
  <c r="D17" i="12" s="1"/>
  <c r="G17" i="12" s="1"/>
  <c r="D10" i="12" a="1"/>
  <c r="D10" i="12" s="1"/>
  <c r="F10" i="12" s="1"/>
  <c r="D4" i="12" a="1"/>
  <c r="D4" i="12" s="1"/>
  <c r="D9" i="12" a="1"/>
  <c r="D9" i="12" s="1"/>
  <c r="D8" i="12" a="1"/>
  <c r="D8" i="12" s="1"/>
  <c r="G8" i="12" s="1"/>
  <c r="D2" i="12" a="1"/>
  <c r="D2" i="12" s="1"/>
  <c r="G2" i="12" s="1"/>
  <c r="H11" i="12"/>
  <c r="H23" i="12"/>
  <c r="K23" i="12" s="1"/>
  <c r="H14" i="12"/>
  <c r="H15" i="12"/>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s="1"/>
  <c r="C2715" i="7" a="1"/>
  <c r="C2715" i="7" s="1"/>
  <c r="C2716" i="7" a="1"/>
  <c r="C2716" i="7" s="1"/>
  <c r="C2717" i="7" a="1"/>
  <c r="C2717" i="7" s="1"/>
  <c r="C2718" i="7" a="1"/>
  <c r="C2718" i="7" s="1"/>
  <c r="C2719" i="7" a="1"/>
  <c r="C2719" i="7" s="1"/>
  <c r="C2720" i="7" a="1"/>
  <c r="C2720" i="7" s="1"/>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s="1"/>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8" i="9" a="1"/>
  <c r="C2768" i="9" s="1"/>
  <c r="C2769" i="9" a="1"/>
  <c r="C2769" i="9" s="1"/>
  <c r="C2770" i="9" a="1"/>
  <c r="C2770" i="9" s="1"/>
  <c r="C2771" i="9" a="1"/>
  <c r="C2771" i="9" s="1"/>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s="1"/>
  <c r="C2801" i="9" a="1"/>
  <c r="C2801" i="9" s="1"/>
  <c r="C2802" i="9" a="1"/>
  <c r="C2802" i="9" s="1"/>
  <c r="C2803" i="9" a="1"/>
  <c r="C2803" i="9" s="1"/>
  <c r="C2804" i="9" a="1"/>
  <c r="C2804" i="9" s="1"/>
  <c r="C2805" i="9" a="1"/>
  <c r="C2805" i="9" s="1"/>
  <c r="C2806" i="9" a="1"/>
  <c r="C2806" i="9" s="1"/>
  <c r="C2807" i="9" a="1"/>
  <c r="C2807" i="9" s="1"/>
  <c r="C2808" i="9" a="1"/>
  <c r="C2808" i="9" s="1"/>
  <c r="C2809" i="9" a="1"/>
  <c r="C2809" i="9" s="1"/>
  <c r="C2" i="9" a="1"/>
  <c r="C2" i="9" s="1"/>
  <c r="F9" i="12" l="1"/>
  <c r="G9" i="12"/>
  <c r="F4" i="12"/>
  <c r="G4" i="12"/>
  <c r="F2" i="12"/>
  <c r="H2" i="12" s="1"/>
  <c r="K2" i="12" s="1"/>
  <c r="H21" i="12"/>
  <c r="K21" i="12" s="1"/>
  <c r="D2215" i="9" a="1"/>
  <c r="D2215" i="9" s="1"/>
  <c r="J18" i="12"/>
  <c r="K18" i="12"/>
  <c r="J7" i="12"/>
  <c r="J5" i="12"/>
  <c r="K5" i="12"/>
  <c r="J15" i="12"/>
  <c r="K15" i="12"/>
  <c r="J3" i="12"/>
  <c r="K3" i="12"/>
  <c r="J14" i="12"/>
  <c r="K14" i="12"/>
  <c r="J6" i="12"/>
  <c r="K6" i="12"/>
  <c r="J23" i="12"/>
  <c r="J11" i="12"/>
  <c r="K11" i="12"/>
  <c r="J22" i="12"/>
  <c r="K22" i="12"/>
  <c r="F17" i="12"/>
  <c r="F8" i="12"/>
  <c r="F12" i="12"/>
  <c r="H12" i="12" s="1"/>
  <c r="H19" i="12"/>
  <c r="H13" i="12"/>
  <c r="H16" i="12"/>
  <c r="H24" i="12"/>
  <c r="H20" i="12"/>
  <c r="D2631" i="9"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H9" i="12" l="1"/>
  <c r="K9" i="12" s="1"/>
  <c r="H4" i="12"/>
  <c r="J4" i="12" s="1"/>
  <c r="J21" i="12"/>
  <c r="H17" i="12"/>
  <c r="K17" i="12" s="1"/>
  <c r="J24" i="12"/>
  <c r="K24" i="12"/>
  <c r="J16" i="12"/>
  <c r="K16" i="12"/>
  <c r="J13" i="12"/>
  <c r="K13" i="12"/>
  <c r="J19" i="12"/>
  <c r="K19" i="12"/>
  <c r="J20" i="12"/>
  <c r="K20" i="12"/>
  <c r="J12" i="12"/>
  <c r="K12" i="12"/>
  <c r="J2" i="12"/>
  <c r="H8" i="12"/>
  <c r="H10" i="12"/>
  <c r="E2047" i="9"/>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 r="J9" i="12" l="1"/>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<sst xmlns="http://schemas.openxmlformats.org/spreadsheetml/2006/main" count="14208" uniqueCount="1012">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</sst>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3">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0" fontId="0" fillId="0" borderId="0" xfId="0" applyNumberForma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2" totalsRowShown="0">
  <autoFilter ref="A1:Y82" xr:uid="{00000000-000C-0000-FFFF-FFFF00000000}"/>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4" totalsRowShown="0">
  <autoFilter ref="A1:C2704" xr:uid="{00000000-0009-0000-0100-000006000000}">
    <filterColumn colId="1">
      <filters>
        <dateGroupItem year="2026" month="7" dateTimeGrouping="month"/>
      </filters>
    </filterColumn>
  </autoFilter>
  <sortState xmlns:xlrd2="http://schemas.microsoft.com/office/spreadsheetml/2017/richdata2" ref="A103:C2698">
    <sortCondition ref="A1:A2704"/>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filterColumn colId="0">
      <filters>
        <filter val="Watt Place Rotoflo"/>
      </filters>
    </filterColumn>
    <filterColumn colId="1">
      <filters>
        <dateGroupItem year="2026" month="1" dateTimeGrouping="month"/>
        <dateGroupItem year="2026" month="2" dateTimeGrouping="month"/>
        <dateGroupItem year="2026" month="3" dateTimeGrouping="month"/>
        <dateGroupItem year="2026" month="4" dateTimeGrouping="month"/>
        <dateGroupItem year="2026" month="5" dateTimeGrouping="month"/>
        <dateGroupItem year="2026" month="6" dateTimeGrouping="month"/>
        <dateGroupItem year="2025" month="7" dateTimeGrouping="month"/>
        <dateGroupItem year="2025" month="8" dateTimeGrouping="month"/>
        <dateGroupItem year="2025" month="9" dateTimeGrouping="month"/>
        <dateGroupItem year="2025" month="10" dateTimeGrouping="month"/>
        <dateGroupItem year="2025" month="11" dateTimeGrouping="month"/>
        <dateGroupItem year="2025" month="12"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02">
  <autoFilter ref="A1:H1802" xr:uid="{00000000-0009-0000-0100-000008000000}"/>
  <sortState xmlns:xlrd2="http://schemas.microsoft.com/office/spreadsheetml/2017/richdata2" ref="A47:H1776">
    <sortCondition ref="A1:A1802"/>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s>
    </filterColumn>
    <filterColumn colId="1">
      <filters>
        <dateGroupItem year="2026" month="6"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tabSelected="1" zoomScale="98" zoomScaleNormal="98" workbookViewId="0">
      <pane xSplit="1" ySplit="1" topLeftCell="P2" activePane="bottomRight" state="frozen"/>
      <selection pane="topRight" activeCell="B1" sqref="B1"/>
      <selection pane="bottomLeft" activeCell="A2" sqref="A2"/>
      <selection pane="bottomRight" activeCell="X33" sqref="X33"/>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870</v>
      </c>
      <c r="C1" s="1" t="s">
        <v>1</v>
      </c>
      <c r="D1" s="1" t="s">
        <v>871</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874</v>
      </c>
      <c r="W1" t="s">
        <v>879</v>
      </c>
      <c r="X1" t="s">
        <v>1000</v>
      </c>
      <c r="Y1" t="s">
        <v>1011</v>
      </c>
    </row>
    <row r="2" spans="1:25" ht="14.25"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875</v>
      </c>
      <c r="W2" s="20" t="str">
        <f t="shared" ref="W2:W65" ca="1" si="0">IF(ISNUMBER(S2),(TODAY()-S2)/365.25,"")</f>
        <v/>
      </c>
      <c r="X2" t="s">
        <v>1009</v>
      </c>
    </row>
    <row r="3" spans="1:25"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875</v>
      </c>
      <c r="W3" s="20">
        <f t="shared" ca="1" si="0"/>
        <v>2.8665297741273101</v>
      </c>
      <c r="X3" t="s">
        <v>1001</v>
      </c>
    </row>
    <row r="4" spans="1:25" ht="14.25"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875</v>
      </c>
      <c r="W4" s="20" t="str">
        <f t="shared" ca="1" si="0"/>
        <v/>
      </c>
      <c r="X4" t="s">
        <v>1010</v>
      </c>
    </row>
    <row r="5" spans="1:25"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876</v>
      </c>
      <c r="W5" s="20">
        <f ca="1">IF(ISNUMBER(S5),(TODAY()-S5)/365.25,"")</f>
        <v>1.5331964407939767</v>
      </c>
      <c r="X5" t="s">
        <v>1001</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875</v>
      </c>
      <c r="W6" s="20" t="str">
        <f t="shared" ca="1" si="0"/>
        <v/>
      </c>
      <c r="X6" t="s">
        <v>1001</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875</v>
      </c>
      <c r="W7" s="20" t="str">
        <f t="shared" ca="1" si="0"/>
        <v/>
      </c>
      <c r="X7" t="s">
        <v>1001</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872</v>
      </c>
      <c r="U8" s="1" t="s">
        <v>22</v>
      </c>
      <c r="V8" t="s">
        <v>875</v>
      </c>
      <c r="W8" s="20" t="str">
        <f t="shared" ca="1" si="0"/>
        <v/>
      </c>
      <c r="X8" t="s">
        <v>1001</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875</v>
      </c>
      <c r="W9" s="20" t="str">
        <f t="shared" ca="1" si="0"/>
        <v/>
      </c>
      <c r="X9" t="s">
        <v>1001</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875</v>
      </c>
      <c r="W10" s="20">
        <f t="shared" ca="1" si="0"/>
        <v>2.108145106091718</v>
      </c>
      <c r="X10" t="s">
        <v>1001</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875</v>
      </c>
      <c r="W11" s="20" t="str">
        <f t="shared" ca="1" si="0"/>
        <v/>
      </c>
      <c r="X11" t="s">
        <v>1001</v>
      </c>
    </row>
    <row r="12" spans="1:25" ht="14.25"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875</v>
      </c>
      <c r="W12" s="20">
        <f t="shared" ca="1" si="0"/>
        <v>1.0321697467488022</v>
      </c>
      <c r="X12" t="s">
        <v>1001</v>
      </c>
    </row>
    <row r="13" spans="1:25" ht="14.25"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875</v>
      </c>
      <c r="W13" s="20">
        <f t="shared" ca="1" si="0"/>
        <v>3.2854209445585217E-2</v>
      </c>
      <c r="X13" t="s">
        <v>1001</v>
      </c>
    </row>
    <row r="14" spans="1:25"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876</v>
      </c>
      <c r="W14" s="20">
        <f t="shared" ca="1" si="0"/>
        <v>2.4640657084188913</v>
      </c>
      <c r="X14" t="s">
        <v>1001</v>
      </c>
    </row>
    <row r="15" spans="1:25" ht="14.25"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875</v>
      </c>
      <c r="W15" s="20" t="str">
        <f t="shared" ca="1" si="0"/>
        <v/>
      </c>
      <c r="X15" t="s">
        <v>1001</v>
      </c>
    </row>
    <row r="16" spans="1:25" ht="14.25"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875</v>
      </c>
      <c r="W16" s="20" t="str">
        <f t="shared" ca="1" si="0"/>
        <v/>
      </c>
      <c r="X16" t="s">
        <v>1001</v>
      </c>
    </row>
    <row r="17" spans="1:24" ht="14.25"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872</v>
      </c>
      <c r="U17" s="1" t="s">
        <v>22</v>
      </c>
      <c r="V17" t="s">
        <v>875</v>
      </c>
      <c r="W17" s="20" t="str">
        <f t="shared" ca="1" si="0"/>
        <v/>
      </c>
      <c r="X17" t="s">
        <v>1001</v>
      </c>
    </row>
    <row r="18" spans="1:24"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876</v>
      </c>
      <c r="W18" s="20">
        <f t="shared" ca="1" si="0"/>
        <v>3.2060232717316905</v>
      </c>
      <c r="X18" t="s">
        <v>1001</v>
      </c>
    </row>
    <row r="19" spans="1:24" ht="14.25"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875</v>
      </c>
      <c r="W19" s="20" t="str">
        <f t="shared" ca="1" si="0"/>
        <v/>
      </c>
      <c r="X19" t="s">
        <v>1001</v>
      </c>
    </row>
    <row r="20" spans="1:24" ht="14.25"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875</v>
      </c>
      <c r="W20" s="20" t="str">
        <f t="shared" ca="1" si="0"/>
        <v/>
      </c>
      <c r="X20" t="s">
        <v>1001</v>
      </c>
    </row>
    <row r="21" spans="1:24"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876</v>
      </c>
      <c r="W21" s="20">
        <f t="shared" ca="1" si="0"/>
        <v>3.137577002053388</v>
      </c>
      <c r="X21" t="s">
        <v>1001</v>
      </c>
    </row>
    <row r="22" spans="1:24"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876</v>
      </c>
      <c r="W22" s="20">
        <f t="shared" ca="1" si="0"/>
        <v>3.137577002053388</v>
      </c>
      <c r="X22" t="s">
        <v>1001</v>
      </c>
    </row>
    <row r="23" spans="1:24" ht="14.25"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875</v>
      </c>
      <c r="W23" s="20" t="str">
        <f t="shared" ca="1" si="0"/>
        <v/>
      </c>
      <c r="X23" t="s">
        <v>1001</v>
      </c>
    </row>
    <row r="24" spans="1:24" ht="14.25"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875</v>
      </c>
      <c r="W24" s="20" t="str">
        <f t="shared" ca="1" si="0"/>
        <v/>
      </c>
      <c r="X24" t="s">
        <v>1001</v>
      </c>
    </row>
    <row r="25" spans="1:24"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876</v>
      </c>
      <c r="W25" s="20">
        <f t="shared" ca="1" si="0"/>
        <v>2.8555783709787819</v>
      </c>
      <c r="X25" t="s">
        <v>1001</v>
      </c>
    </row>
    <row r="26" spans="1:24"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876</v>
      </c>
      <c r="W26" s="20">
        <f t="shared" ca="1" si="0"/>
        <v>2.0670773442847366</v>
      </c>
      <c r="X26" t="s">
        <v>1001</v>
      </c>
    </row>
    <row r="27" spans="1:24" ht="14.25"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875</v>
      </c>
      <c r="W27" s="20" t="str">
        <f t="shared" ca="1" si="0"/>
        <v/>
      </c>
      <c r="X27" t="s">
        <v>1001</v>
      </c>
    </row>
    <row r="28" spans="1:24" ht="14.25"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875</v>
      </c>
      <c r="W28" s="20" t="str">
        <f t="shared" ca="1" si="0"/>
        <v/>
      </c>
      <c r="X28" t="s">
        <v>1010</v>
      </c>
    </row>
    <row r="29" spans="1:24" ht="14.25"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4.26009582477755</v>
      </c>
      <c r="X29" t="s">
        <v>1001</v>
      </c>
    </row>
    <row r="30" spans="1:24"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876</v>
      </c>
      <c r="W30" s="20">
        <f t="shared" ca="1" si="0"/>
        <v>2.3709787816563996</v>
      </c>
      <c r="X30" t="s">
        <v>1001</v>
      </c>
    </row>
    <row r="31" spans="1:24"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876</v>
      </c>
      <c r="W31" s="20">
        <f t="shared" ca="1" si="0"/>
        <v>3.4360027378507869</v>
      </c>
      <c r="X31" t="s">
        <v>1001</v>
      </c>
    </row>
    <row r="32" spans="1:24" ht="14.25"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875</v>
      </c>
      <c r="W32" s="20" t="str">
        <f t="shared" ca="1" si="0"/>
        <v/>
      </c>
      <c r="X32" t="s">
        <v>1001</v>
      </c>
    </row>
    <row r="33" spans="1:24" ht="14.25"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875</v>
      </c>
      <c r="W33" s="20" t="str">
        <f t="shared" ca="1" si="0"/>
        <v/>
      </c>
      <c r="X33" t="s">
        <v>1001</v>
      </c>
    </row>
    <row r="34" spans="1:24"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876</v>
      </c>
      <c r="W34" s="20">
        <f t="shared" ca="1" si="0"/>
        <v>2.8583162217659139</v>
      </c>
      <c r="X34" t="s">
        <v>1001</v>
      </c>
    </row>
    <row r="35" spans="1:24" ht="15"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875</v>
      </c>
      <c r="W35" s="20" t="str">
        <f t="shared" ca="1" si="0"/>
        <v/>
      </c>
      <c r="X35" t="s">
        <v>1001</v>
      </c>
    </row>
    <row r="36" spans="1:24"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876</v>
      </c>
      <c r="W36" s="20">
        <f t="shared" ca="1" si="0"/>
        <v>4.1889117043121153</v>
      </c>
      <c r="X36" t="s">
        <v>1001</v>
      </c>
    </row>
    <row r="37" spans="1:24" ht="14.25"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875</v>
      </c>
      <c r="W37" s="20" t="str">
        <f t="shared" ca="1" si="0"/>
        <v/>
      </c>
      <c r="X37" t="s">
        <v>1001</v>
      </c>
    </row>
    <row r="38" spans="1:24" ht="14.25"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875</v>
      </c>
      <c r="W38" s="20" t="str">
        <f t="shared" ca="1" si="0"/>
        <v/>
      </c>
      <c r="X38" t="s">
        <v>1001</v>
      </c>
    </row>
    <row r="39" spans="1:24" ht="14.25"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875</v>
      </c>
      <c r="W39" s="20" t="str">
        <f t="shared" ca="1" si="0"/>
        <v/>
      </c>
      <c r="X39" t="s">
        <v>1001</v>
      </c>
    </row>
    <row r="40" spans="1:24"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876</v>
      </c>
      <c r="W40" s="20">
        <f t="shared" ca="1" si="0"/>
        <v>2.6091718001368926</v>
      </c>
      <c r="X40" t="s">
        <v>1001</v>
      </c>
    </row>
    <row r="41" spans="1:24" ht="14.25"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875</v>
      </c>
      <c r="W41" s="20" t="str">
        <f t="shared" ca="1" si="0"/>
        <v/>
      </c>
      <c r="X41" t="s">
        <v>1001</v>
      </c>
    </row>
    <row r="42" spans="1:24" ht="14.25"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875</v>
      </c>
      <c r="W42" s="20" t="str">
        <f t="shared" ca="1" si="0"/>
        <v/>
      </c>
      <c r="X42" t="s">
        <v>1001</v>
      </c>
    </row>
    <row r="43" spans="1:24" ht="14.25"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875</v>
      </c>
      <c r="W43" s="20" t="str">
        <f t="shared" ca="1" si="0"/>
        <v/>
      </c>
      <c r="X43" t="s">
        <v>1001</v>
      </c>
    </row>
    <row r="44" spans="1:24" ht="14.25"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875</v>
      </c>
      <c r="W44" s="20" t="str">
        <f t="shared" ca="1" si="0"/>
        <v/>
      </c>
      <c r="X44" t="s">
        <v>1001</v>
      </c>
    </row>
    <row r="45" spans="1:24" ht="14.25"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875</v>
      </c>
      <c r="W45" s="20" t="str">
        <f t="shared" ca="1" si="0"/>
        <v/>
      </c>
      <c r="X45" t="s">
        <v>1001</v>
      </c>
    </row>
    <row r="46" spans="1:24" ht="14.25"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875</v>
      </c>
      <c r="W46" s="20" t="str">
        <f t="shared" ca="1" si="0"/>
        <v/>
      </c>
      <c r="X46" t="s">
        <v>1001</v>
      </c>
    </row>
    <row r="47" spans="1:24" ht="14.25"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875</v>
      </c>
      <c r="W47" s="20" t="str">
        <f t="shared" ca="1" si="0"/>
        <v/>
      </c>
      <c r="X47" t="s">
        <v>1001</v>
      </c>
    </row>
    <row r="48" spans="1:24" ht="14.25"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875</v>
      </c>
      <c r="W48" s="20" t="str">
        <f t="shared" ca="1" si="0"/>
        <v/>
      </c>
      <c r="X48" t="s">
        <v>1001</v>
      </c>
    </row>
    <row r="49" spans="1:25" ht="14.25"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875</v>
      </c>
      <c r="W49" s="20" t="str">
        <f t="shared" ca="1" si="0"/>
        <v/>
      </c>
      <c r="X49" t="s">
        <v>1001</v>
      </c>
      <c r="Y49" t="s">
        <v>1002</v>
      </c>
    </row>
    <row r="50" spans="1:25" ht="14.25"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875</v>
      </c>
      <c r="W50" s="20" t="str">
        <f t="shared" ca="1" si="0"/>
        <v/>
      </c>
      <c r="X50" t="s">
        <v>1001</v>
      </c>
    </row>
    <row r="51" spans="1:25" ht="14.25"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875</v>
      </c>
      <c r="W51" s="20" t="str">
        <f t="shared" ca="1" si="0"/>
        <v/>
      </c>
      <c r="X51" t="s">
        <v>1001</v>
      </c>
    </row>
    <row r="52" spans="1:25" ht="14.25"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875</v>
      </c>
      <c r="W52" s="20" t="str">
        <f t="shared" ca="1" si="0"/>
        <v/>
      </c>
      <c r="X52" t="s">
        <v>1001</v>
      </c>
    </row>
    <row r="53" spans="1:25" ht="14.25"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875</v>
      </c>
      <c r="W53" s="20" t="str">
        <f t="shared" ca="1" si="0"/>
        <v/>
      </c>
      <c r="X53" t="s">
        <v>1001</v>
      </c>
    </row>
    <row r="54" spans="1:25" ht="14.25"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875</v>
      </c>
      <c r="W54" s="20" t="str">
        <f t="shared" ca="1" si="0"/>
        <v/>
      </c>
      <c r="X54" t="s">
        <v>1001</v>
      </c>
    </row>
    <row r="55" spans="1:25"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876</v>
      </c>
      <c r="W55" s="20">
        <f t="shared" ca="1" si="0"/>
        <v>2.9869952087611225</v>
      </c>
      <c r="X55" t="s">
        <v>1001</v>
      </c>
    </row>
    <row r="56" spans="1:25" ht="14.25"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875</v>
      </c>
      <c r="W56" s="20" t="str">
        <f t="shared" ca="1" si="0"/>
        <v/>
      </c>
      <c r="X56" t="s">
        <v>1001</v>
      </c>
    </row>
    <row r="57" spans="1:25" ht="14.25"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875</v>
      </c>
      <c r="W57" s="20" t="str">
        <f t="shared" ca="1" si="0"/>
        <v/>
      </c>
      <c r="X57" t="s">
        <v>1001</v>
      </c>
    </row>
    <row r="58" spans="1:25" ht="14.25"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875</v>
      </c>
      <c r="W58" s="20" t="str">
        <f t="shared" ca="1" si="0"/>
        <v/>
      </c>
      <c r="X58" t="s">
        <v>1001</v>
      </c>
    </row>
    <row r="59" spans="1:25"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876</v>
      </c>
      <c r="W59" s="20">
        <f t="shared" ca="1" si="0"/>
        <v>2.8555783709787819</v>
      </c>
      <c r="X59" t="s">
        <v>1001</v>
      </c>
    </row>
    <row r="60" spans="1:25" ht="14.25"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875</v>
      </c>
      <c r="W60" s="20" t="str">
        <f t="shared" ca="1" si="0"/>
        <v/>
      </c>
      <c r="X60" t="s">
        <v>1001</v>
      </c>
    </row>
    <row r="61" spans="1:25" ht="14.25"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875</v>
      </c>
      <c r="W61" s="20">
        <f t="shared" ca="1" si="0"/>
        <v>1.2758384668035592</v>
      </c>
      <c r="X61" t="s">
        <v>1001</v>
      </c>
    </row>
    <row r="62" spans="1:25" ht="14.25"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875</v>
      </c>
      <c r="W62" s="20" t="str">
        <f t="shared" ca="1" si="0"/>
        <v/>
      </c>
      <c r="X62" t="s">
        <v>1001</v>
      </c>
    </row>
    <row r="63" spans="1:25"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876</v>
      </c>
      <c r="W63" s="20">
        <f t="shared" ca="1" si="0"/>
        <v>2.8993839835728954</v>
      </c>
      <c r="X63" t="s">
        <v>1002</v>
      </c>
    </row>
    <row r="64" spans="1:25" ht="14.25"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875</v>
      </c>
      <c r="W64" s="20" t="str">
        <f t="shared" ca="1" si="0"/>
        <v/>
      </c>
      <c r="X64" t="s">
        <v>1002</v>
      </c>
    </row>
    <row r="65" spans="1:24"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876</v>
      </c>
      <c r="W65" s="20">
        <f t="shared" ca="1" si="0"/>
        <v>2.8993839835728954</v>
      </c>
      <c r="X65" t="s">
        <v>1002</v>
      </c>
    </row>
    <row r="66" spans="1:24"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876</v>
      </c>
      <c r="W66" s="20">
        <f t="shared" ref="W66:W79" ca="1" si="1">IF(ISNUMBER(S66),(TODAY()-S66)/365.25,"")</f>
        <v>0.80492813141683783</v>
      </c>
      <c r="X66" t="s">
        <v>1002</v>
      </c>
    </row>
    <row r="67" spans="1:24"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876</v>
      </c>
      <c r="W67" s="20">
        <f t="shared" ca="1" si="1"/>
        <v>0.80492813141683783</v>
      </c>
      <c r="X67" t="s">
        <v>1002</v>
      </c>
    </row>
    <row r="68" spans="1:24"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876</v>
      </c>
      <c r="W68" s="20">
        <f t="shared" ca="1" si="1"/>
        <v>0.77754962354551682</v>
      </c>
      <c r="X68" t="s">
        <v>1001</v>
      </c>
    </row>
    <row r="69" spans="1:24"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876</v>
      </c>
      <c r="W69" s="20">
        <f t="shared" ca="1" si="1"/>
        <v>0.77754962354551682</v>
      </c>
      <c r="X69" t="s">
        <v>1001</v>
      </c>
    </row>
    <row r="70" spans="1:24" ht="14.25"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875</v>
      </c>
      <c r="W70" s="20" t="str">
        <f t="shared" ca="1" si="1"/>
        <v/>
      </c>
      <c r="X70" t="s">
        <v>1001</v>
      </c>
    </row>
    <row r="71" spans="1:24" ht="14.25"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875</v>
      </c>
      <c r="W71" s="20" t="str">
        <f t="shared" ca="1" si="1"/>
        <v/>
      </c>
      <c r="X71" t="s">
        <v>1001</v>
      </c>
    </row>
    <row r="72" spans="1:24" ht="14.25"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c r="X72" t="s">
        <v>1001</v>
      </c>
    </row>
    <row r="73" spans="1:24" ht="14.25"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c r="X73" t="s">
        <v>1001</v>
      </c>
    </row>
    <row r="74" spans="1:24"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876</v>
      </c>
      <c r="W74" s="20">
        <f t="shared" ca="1" si="1"/>
        <v>0.731006160164271</v>
      </c>
      <c r="X74" t="s">
        <v>1001</v>
      </c>
    </row>
    <row r="75" spans="1:24" ht="14.25"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875</v>
      </c>
      <c r="W75" s="20">
        <f t="shared" ca="1" si="1"/>
        <v>0.41067761806981518</v>
      </c>
      <c r="X75" t="s">
        <v>1009</v>
      </c>
    </row>
    <row r="76" spans="1:24" ht="14.25"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875</v>
      </c>
      <c r="W76" s="20">
        <f t="shared" ca="1" si="1"/>
        <v>0.28473648186173856</v>
      </c>
      <c r="X76" t="s">
        <v>1009</v>
      </c>
    </row>
    <row r="77" spans="1:24" ht="14.25" customHeight="1" x14ac:dyDescent="0.3">
      <c r="A77" t="s">
        <v>249</v>
      </c>
      <c r="B77">
        <v>114070</v>
      </c>
      <c r="C77">
        <v>125</v>
      </c>
      <c r="D77">
        <v>0</v>
      </c>
      <c r="E77" t="s">
        <v>36</v>
      </c>
      <c r="F77" t="s">
        <v>36</v>
      </c>
      <c r="G77" s="1" t="s">
        <v>36</v>
      </c>
      <c r="H77" s="1" t="s">
        <v>36</v>
      </c>
      <c r="I77" s="1" t="s">
        <v>23</v>
      </c>
      <c r="J77" t="s">
        <v>34</v>
      </c>
      <c r="K77" t="s">
        <v>250</v>
      </c>
      <c r="L77" t="s">
        <v>52</v>
      </c>
      <c r="M77" t="s">
        <v>26</v>
      </c>
      <c r="N77" t="s">
        <v>58</v>
      </c>
      <c r="O77" s="1" t="s">
        <v>243</v>
      </c>
      <c r="S77" s="19">
        <v>46162</v>
      </c>
      <c r="T77" t="s">
        <v>42</v>
      </c>
      <c r="U77" s="1" t="s">
        <v>210</v>
      </c>
      <c r="V77" t="s">
        <v>876</v>
      </c>
      <c r="W77" s="20">
        <f t="shared" ca="1" si="1"/>
        <v>0.15331964407939766</v>
      </c>
      <c r="X77" t="s">
        <v>1002</v>
      </c>
    </row>
    <row r="78" spans="1:24" ht="14.25" customHeight="1" x14ac:dyDescent="0.3">
      <c r="A78" t="s">
        <v>251</v>
      </c>
      <c r="B78">
        <v>217000</v>
      </c>
      <c r="C78">
        <f>2*110</f>
        <v>220</v>
      </c>
      <c r="D78">
        <v>0</v>
      </c>
      <c r="E78" t="s">
        <v>36</v>
      </c>
      <c r="F78" t="s">
        <v>36</v>
      </c>
      <c r="G78" s="1" t="s">
        <v>36</v>
      </c>
      <c r="H78" s="1" t="s">
        <v>36</v>
      </c>
      <c r="I78" s="1" t="s">
        <v>23</v>
      </c>
      <c r="J78" t="s">
        <v>50</v>
      </c>
      <c r="K78" s="1" t="s">
        <v>51</v>
      </c>
      <c r="L78" t="s">
        <v>52</v>
      </c>
      <c r="M78" t="s">
        <v>26</v>
      </c>
      <c r="N78" t="s">
        <v>38</v>
      </c>
      <c r="O78" s="1" t="s">
        <v>243</v>
      </c>
      <c r="Q78" t="s">
        <v>53</v>
      </c>
      <c r="S78" s="19">
        <v>46140</v>
      </c>
      <c r="T78" t="s">
        <v>42</v>
      </c>
      <c r="U78" s="1" t="s">
        <v>210</v>
      </c>
      <c r="V78" t="s">
        <v>876</v>
      </c>
      <c r="W78" s="20">
        <f t="shared" ca="1" si="1"/>
        <v>0.2135523613963039</v>
      </c>
      <c r="X78" t="s">
        <v>1001</v>
      </c>
    </row>
    <row r="79" spans="1:24" ht="14.25" customHeight="1" x14ac:dyDescent="0.3">
      <c r="A79" t="s">
        <v>252</v>
      </c>
      <c r="B79">
        <v>161000</v>
      </c>
      <c r="C79">
        <v>150</v>
      </c>
      <c r="D79">
        <v>0</v>
      </c>
      <c r="E79" t="s">
        <v>36</v>
      </c>
      <c r="F79" t="s">
        <v>36</v>
      </c>
      <c r="G79" s="1" t="s">
        <v>36</v>
      </c>
      <c r="H79" s="1" t="s">
        <v>36</v>
      </c>
      <c r="I79" t="s">
        <v>23</v>
      </c>
      <c r="J79" t="s">
        <v>153</v>
      </c>
      <c r="K79" t="s">
        <v>253</v>
      </c>
      <c r="L79" t="s">
        <v>52</v>
      </c>
      <c r="M79" t="s">
        <v>26</v>
      </c>
      <c r="N79" t="s">
        <v>58</v>
      </c>
      <c r="O79" s="1" t="s">
        <v>243</v>
      </c>
      <c r="Q79" t="s">
        <v>29</v>
      </c>
      <c r="S79" s="19"/>
      <c r="T79" t="s">
        <v>873</v>
      </c>
      <c r="U79" s="1" t="s">
        <v>210</v>
      </c>
      <c r="V79" t="s">
        <v>875</v>
      </c>
      <c r="W79" s="20" t="str">
        <f t="shared" ca="1" si="1"/>
        <v/>
      </c>
      <c r="X79" t="s">
        <v>1009</v>
      </c>
    </row>
    <row r="80" spans="1:24" ht="14.25" customHeight="1" x14ac:dyDescent="0.3">
      <c r="A80" t="s">
        <v>1003</v>
      </c>
      <c r="B80">
        <v>148800</v>
      </c>
      <c r="C80">
        <v>150</v>
      </c>
      <c r="D80">
        <v>0</v>
      </c>
      <c r="E80" t="s">
        <v>36</v>
      </c>
      <c r="F80" t="s">
        <v>36</v>
      </c>
      <c r="G80" s="1" t="s">
        <v>36</v>
      </c>
      <c r="H80" s="1" t="s">
        <v>36</v>
      </c>
      <c r="I80" t="s">
        <v>23</v>
      </c>
      <c r="J80" t="s">
        <v>50</v>
      </c>
      <c r="K80" t="s">
        <v>1006</v>
      </c>
      <c r="L80" t="s">
        <v>52</v>
      </c>
      <c r="M80" t="s">
        <v>26</v>
      </c>
      <c r="N80" t="s">
        <v>58</v>
      </c>
      <c r="O80" s="1" t="s">
        <v>243</v>
      </c>
      <c r="Q80" t="s">
        <v>29</v>
      </c>
      <c r="S80" s="19"/>
      <c r="T80" t="s">
        <v>873</v>
      </c>
      <c r="U80" s="1" t="s">
        <v>210</v>
      </c>
      <c r="V80" t="s">
        <v>875</v>
      </c>
      <c r="W80" t="str">
        <f t="shared" ref="W80:W81" ca="1" si="2">IF(ISNUMBER(S80),(TODAY()-S80)/365.25,"")</f>
        <v/>
      </c>
      <c r="X80" t="s">
        <v>1009</v>
      </c>
    </row>
    <row r="81" spans="1:24" ht="14.25" customHeight="1" x14ac:dyDescent="0.3">
      <c r="A81" t="s">
        <v>1004</v>
      </c>
      <c r="B81">
        <v>132680</v>
      </c>
      <c r="C81">
        <v>125</v>
      </c>
      <c r="D81">
        <v>0</v>
      </c>
      <c r="E81" t="s">
        <v>36</v>
      </c>
      <c r="F81" t="s">
        <v>36</v>
      </c>
      <c r="G81" s="1" t="s">
        <v>36</v>
      </c>
      <c r="H81" s="1" t="s">
        <v>36</v>
      </c>
      <c r="I81" t="s">
        <v>23</v>
      </c>
      <c r="J81" t="s">
        <v>34</v>
      </c>
      <c r="K81" t="s">
        <v>1007</v>
      </c>
      <c r="L81" t="s">
        <v>52</v>
      </c>
      <c r="M81" t="s">
        <v>26</v>
      </c>
      <c r="N81" t="s">
        <v>58</v>
      </c>
      <c r="Q81" t="s">
        <v>29</v>
      </c>
      <c r="S81" s="19"/>
      <c r="T81" t="s">
        <v>873</v>
      </c>
      <c r="U81" s="1" t="s">
        <v>210</v>
      </c>
      <c r="V81" t="s">
        <v>875</v>
      </c>
      <c r="W81" t="str">
        <f t="shared" ca="1" si="2"/>
        <v/>
      </c>
      <c r="X81" t="s">
        <v>1009</v>
      </c>
    </row>
    <row r="82" spans="1:24" ht="14.25" customHeight="1" x14ac:dyDescent="0.3">
      <c r="A82" t="s">
        <v>1005</v>
      </c>
      <c r="B82">
        <v>29760</v>
      </c>
      <c r="C82">
        <v>30</v>
      </c>
      <c r="D82">
        <v>0</v>
      </c>
      <c r="E82" t="s">
        <v>36</v>
      </c>
      <c r="F82" t="s">
        <v>36</v>
      </c>
      <c r="G82" s="1" t="s">
        <v>36</v>
      </c>
      <c r="H82" s="1" t="s">
        <v>36</v>
      </c>
      <c r="I82" t="s">
        <v>23</v>
      </c>
      <c r="J82" t="s">
        <v>56</v>
      </c>
      <c r="K82" t="s">
        <v>1008</v>
      </c>
      <c r="L82" t="s">
        <v>52</v>
      </c>
      <c r="M82" t="s">
        <v>26</v>
      </c>
      <c r="N82" t="s">
        <v>58</v>
      </c>
      <c r="Q82" t="s">
        <v>29</v>
      </c>
      <c r="S82" s="19">
        <v>46185</v>
      </c>
      <c r="T82" t="s">
        <v>873</v>
      </c>
      <c r="U82" s="1" t="s">
        <v>210</v>
      </c>
      <c r="V82" t="s">
        <v>875</v>
      </c>
      <c r="W82" s="42">
        <f ca="1">IF(ISNUMBER(S82),(TODAY()-S82)/365.25,"")</f>
        <v>9.034907597535935E-2</v>
      </c>
      <c r="X82" t="s">
        <v>1009</v>
      </c>
    </row>
    <row r="83" spans="1:24" ht="14.25" customHeight="1" x14ac:dyDescent="0.3"/>
    <row r="84" spans="1:24" ht="14.25" customHeight="1" x14ac:dyDescent="0.3"/>
    <row r="85" spans="1:24" ht="14.25" customHeight="1" x14ac:dyDescent="0.3"/>
    <row r="86" spans="1:24" ht="14.25" customHeight="1" x14ac:dyDescent="0.3"/>
    <row r="87" spans="1:24" ht="14.25" customHeight="1" x14ac:dyDescent="0.3"/>
    <row r="88" spans="1:24" ht="14.25" customHeight="1" x14ac:dyDescent="0.3"/>
    <row r="89" spans="1:24" ht="14.25" customHeight="1" x14ac:dyDescent="0.3"/>
    <row r="90" spans="1:24" ht="14.25" customHeight="1" x14ac:dyDescent="0.3"/>
    <row r="91" spans="1:24" ht="14.25" customHeight="1" x14ac:dyDescent="0.3"/>
    <row r="92" spans="1:24" ht="14.25" customHeight="1" x14ac:dyDescent="0.3"/>
    <row r="93" spans="1:24" ht="14.25" customHeight="1" x14ac:dyDescent="0.3"/>
    <row r="94" spans="1:24" ht="14.25" customHeight="1" x14ac:dyDescent="0.3"/>
    <row r="95" spans="1:24" ht="14.25" customHeight="1" x14ac:dyDescent="0.3"/>
    <row r="96" spans="1:24"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8">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2"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2"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2" xr:uid="{00000000-0002-0000-0000-000002000000}">
      <formula1>"Decommissioned,Producing,Reduced Demand"</formula1>
      <formula2>0</formula2>
    </dataValidation>
    <dataValidation type="list" allowBlank="1" showInputMessage="1" showErrorMessage="1" sqref="V2:V82" xr:uid="{2A54AE45-3D04-43F7-B880-1BB329B234AF}">
      <formula1>"YES,NO"</formula1>
    </dataValidation>
    <dataValidation type="list" allowBlank="1" showInputMessage="1" showErrorMessage="1" sqref="X2:Y82" xr:uid="{44973B9A-327E-4911-A79C-D3F0049038B9}">
      <formula1>"High,Medium,Low,Unknown"</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28" activePane="bottomRight" state="frozen"/>
      <selection pane="topRight" activeCell="B1" sqref="B1"/>
      <selection pane="bottomLeft" activeCell="A2" sqref="A2"/>
      <selection pane="bottomRight" activeCell="H46" sqref="H46"/>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254</v>
      </c>
      <c r="C1" t="s">
        <v>255</v>
      </c>
      <c r="D1" t="s">
        <v>256</v>
      </c>
      <c r="E1" t="s">
        <v>257</v>
      </c>
      <c r="F1" t="s">
        <v>258</v>
      </c>
      <c r="G1" t="s">
        <v>259</v>
      </c>
      <c r="H1" t="s">
        <v>260</v>
      </c>
      <c r="I1" t="s">
        <v>261</v>
      </c>
      <c r="J1" t="s">
        <v>262</v>
      </c>
      <c r="K1" t="s">
        <v>263</v>
      </c>
      <c r="L1" t="s">
        <v>264</v>
      </c>
      <c r="M1" t="s">
        <v>265</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266</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249</v>
      </c>
      <c r="B77">
        <v>19301</v>
      </c>
      <c r="C77">
        <v>16753</v>
      </c>
      <c r="D77">
        <v>16260</v>
      </c>
      <c r="E77">
        <v>13800</v>
      </c>
      <c r="F77">
        <v>12669</v>
      </c>
      <c r="G77">
        <v>11099</v>
      </c>
      <c r="H77">
        <v>12207</v>
      </c>
      <c r="I77">
        <v>14565.3</v>
      </c>
      <c r="J77">
        <v>16481.3</v>
      </c>
      <c r="K77">
        <v>18948</v>
      </c>
      <c r="L77">
        <v>19155</v>
      </c>
      <c r="M77">
        <v>19406</v>
      </c>
    </row>
    <row r="78" spans="1:13" x14ac:dyDescent="0.3">
      <c r="A78" t="s">
        <v>252</v>
      </c>
      <c r="B78">
        <v>29390</v>
      </c>
      <c r="C78">
        <v>25795</v>
      </c>
      <c r="D78">
        <v>25594</v>
      </c>
      <c r="E78">
        <v>22145</v>
      </c>
      <c r="F78">
        <v>20838</v>
      </c>
      <c r="G78">
        <v>18631</v>
      </c>
      <c r="H78">
        <v>20290</v>
      </c>
      <c r="I78">
        <v>23679</v>
      </c>
      <c r="J78">
        <v>26288</v>
      </c>
      <c r="K78">
        <v>29851</v>
      </c>
      <c r="L78">
        <v>30171</v>
      </c>
      <c r="M78">
        <v>30447</v>
      </c>
    </row>
    <row r="79" spans="1:13" x14ac:dyDescent="0.3">
      <c r="A79" t="s">
        <v>251</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C5"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269</v>
      </c>
      <c r="B1" s="15" t="s">
        <v>874</v>
      </c>
      <c r="C1" s="15" t="s">
        <v>268</v>
      </c>
      <c r="D1" s="15" t="s">
        <v>879</v>
      </c>
      <c r="E1" s="15" t="s">
        <v>877</v>
      </c>
      <c r="F1" s="15" t="s">
        <v>883</v>
      </c>
      <c r="G1" s="15" t="s">
        <v>880</v>
      </c>
      <c r="H1" s="15" t="s">
        <v>882</v>
      </c>
      <c r="I1" s="15" t="s">
        <v>884</v>
      </c>
      <c r="J1" s="15" t="s">
        <v>885</v>
      </c>
      <c r="K1" s="15" t="s">
        <v>886</v>
      </c>
      <c r="L1" s="15" t="s">
        <v>878</v>
      </c>
    </row>
    <row r="2" spans="1:12" x14ac:dyDescent="0.3">
      <c r="A2" s="27" t="s">
        <v>49</v>
      </c>
      <c r="B2" s="28" t="s">
        <v>876</v>
      </c>
      <c r="C2" s="29" cm="1">
        <f t="array" ref="C2">IFERROR(INDEX('Expected Production'!$B$2:$B$79,MATCH(TRIM($A2),INDEX(TRIM('Expected Production'!$A$2:$A$79),0),0)),"Not found")</f>
        <v>0.9</v>
      </c>
      <c r="D2" s="30" cm="1">
        <f t="array" aca="1" ref="D2" ca="1">_xlfn.IFNA(_xlfn.XLOOKUP(TRIM(A2),TRIM(site_tech_info!$A$2:$A$79),site_tech_info!$W$2:$W$79),"")</f>
        <v>1.5331964407939767</v>
      </c>
      <c r="E2" s="31" cm="1">
        <f t="array" ref="E2">IFERROR(SUM(INDEX('Simulated Production'!$B$2:$M$79,MATCH(TRIM($A2),INDEX(TRIM('Simulated Production'!$A$2:$A$79),0),0),0)),"Not found")</f>
        <v>63342</v>
      </c>
      <c r="F2" s="32">
        <f ca="1">(Table2[[#This Row],[As-Built kWh]]*Table2[[#This Row],[Expected Utilisation%]])*(1-0.007)^(Table2[[#This Row],[Age]])</f>
        <v>56397.113942276272</v>
      </c>
      <c r="G2" s="32">
        <f ca="1">(4681+4732*(9/31)+4546*(10/31)+4620*(3/30)+4991+4762)*(1-0.007)^(Table2[[#This Row],[Age]])</f>
        <v>17546.261511128869</v>
      </c>
      <c r="H2" s="31">
        <f ca="1">F2-G2</f>
        <v>38850.852431147403</v>
      </c>
      <c r="I2" s="31" cm="1">
        <f t="array" ref="I2">SUMPRODUCT((TRIM(measured[Site Name])=TRIM($A2))*(measured[Date]&gt;=DATE(2025,7,1))*(measured[Date]&lt;=DATE(2026,6,30))*measured[Measured Value (kWh)])</f>
        <v>34917.199999999997</v>
      </c>
      <c r="J2" s="31">
        <f ca="1">I2-H2</f>
        <v>-3933.6524311474059</v>
      </c>
      <c r="K2" s="31">
        <f ca="1">(Table2[[#This Row],[Actual Generation (kWh)]]/Table2[[#This Row],[Correct kWh]])*100</f>
        <v>89.874990675896399</v>
      </c>
      <c r="L2" s="28" t="s">
        <v>984</v>
      </c>
    </row>
    <row r="3" spans="1:12" x14ac:dyDescent="0.3">
      <c r="A3" s="27" t="s">
        <v>81</v>
      </c>
      <c r="B3" s="28" t="s">
        <v>876</v>
      </c>
      <c r="C3" s="29" cm="1">
        <f t="array" ref="C3">IFERROR(INDEX('Expected Production'!$B$2:$B$79,MATCH(TRIM($A3),INDEX(TRIM('Expected Production'!$A$2:$A$79),0),0)),"Not found")</f>
        <v>0.9</v>
      </c>
      <c r="D3" s="30" cm="1">
        <f t="array" aca="1" ref="D3" ca="1">_xlfn.IFNA(_xlfn.XLOOKUP(TRIM(A3),TRIM(site_tech_info!$A$2:$A$79),site_tech_info!$W$2:$W$79),"")</f>
        <v>2.4640657084188913</v>
      </c>
      <c r="E3" s="31" cm="1">
        <f t="array" ref="E3">IFERROR(SUM(INDEX('Simulated Production'!$B$2:$M$79,MATCH(TRIM($A3),INDEX(TRIM('Simulated Production'!$A$2:$A$79),0),0),0)),"Not found")</f>
        <v>94580</v>
      </c>
      <c r="F3" s="32">
        <f ca="1">(Table2[[#This Row],[As-Built kWh]]*Table2[[#This Row],[Expected Utilisation%]])*(1-0.007)^(Table2[[#This Row],[Age]])</f>
        <v>83661.291951513966</v>
      </c>
      <c r="G3" s="32">
        <f ca="1">(8100*(1/2)+7806*(1/2))*(1-0.007)^(Table2[[#This Row],[Age]])</f>
        <v>7816.5251625947521</v>
      </c>
      <c r="H3" s="31">
        <f t="shared" ref="H3:H24" ca="1" si="0">F3-G3</f>
        <v>75844.766788919209</v>
      </c>
      <c r="I3" s="31" cm="1">
        <f t="array" ref="I3">SUMPRODUCT((TRIM(measured[Site Name])=TRIM($A3))*(measured[Date]&gt;=DATE(2025,7,1))*(measured[Date]&lt;=DATE(2026,6,30))*measured[Measured Value (kWh)])</f>
        <v>76046.755900000004</v>
      </c>
      <c r="J3" s="31">
        <f t="shared" ref="J3:J23" ca="1" si="1">I3-H3</f>
        <v>201.98911108079483</v>
      </c>
      <c r="K3" s="31">
        <f ca="1">(Table2[[#This Row],[Actual Generation (kWh)]]/Table2[[#This Row],[Correct kWh]])*100</f>
        <v>100.26631911420196</v>
      </c>
      <c r="L3" s="28" t="s">
        <v>981</v>
      </c>
    </row>
    <row r="4" spans="1:12" x14ac:dyDescent="0.3">
      <c r="A4" s="27" t="s">
        <v>95</v>
      </c>
      <c r="B4" s="28" t="s">
        <v>876</v>
      </c>
      <c r="C4" s="29" cm="1">
        <f t="array" ref="C4">IFERROR(INDEX('Expected Production'!$B$2:$B$79,MATCH(TRIM($A4),INDEX(TRIM('Expected Production'!$A$2:$A$79),0),0)),"Not found")</f>
        <v>0.8</v>
      </c>
      <c r="D4" s="30" cm="1">
        <f t="array" aca="1" ref="D4" ca="1">_xlfn.IFNA(_xlfn.XLOOKUP(TRIM(A4),TRIM(site_tech_info!$A$2:$A$79),site_tech_info!$W$2:$W$79),"")</f>
        <v>3.2060232717316905</v>
      </c>
      <c r="E4" s="31" cm="1">
        <f t="array" ref="E4">IFERROR(SUM(INDEX('Simulated Production'!$B$2:$M$79,MATCH(TRIM($A4),INDEX(TRIM('Simulated Production'!$A$2:$A$79),0),0),0)),"Not found")</f>
        <v>428379</v>
      </c>
      <c r="F4" s="32">
        <f ca="1">(Table2[[#This Row],[As-Built kWh]]*Table2[[#This Row],[Expected Utilisation%]])*(1-0.007)^(Table2[[#This Row],[Age]])</f>
        <v>335071.41475776717</v>
      </c>
      <c r="G4" s="32">
        <f ca="1">(23255*(7/30)+35066*(2/30))*(1-0.007)^(Table2[[#This Row],[Age]])</f>
        <v>7591.0028182924125</v>
      </c>
      <c r="H4" s="31">
        <f t="shared" ca="1" si="0"/>
        <v>327480.41193947475</v>
      </c>
      <c r="I4" s="31" cm="1">
        <f t="array" ref="I4">SUMPRODUCT((TRIM(measured[Site Name])=TRIM($A4))*(measured[Date]&gt;=DATE(2025,7,1))*(measured[Date]&lt;=DATE(2026,6,30))*measured[Measured Value (kWh)])</f>
        <v>166060.42000000001</v>
      </c>
      <c r="J4" s="31">
        <f t="shared" ca="1" si="1"/>
        <v>-161419.99193947474</v>
      </c>
      <c r="K4" s="31">
        <f ca="1">(Table2[[#This Row],[Actual Generation (kWh)]]/Table2[[#This Row],[Correct kWh]])*100</f>
        <v>50.708504675599173</v>
      </c>
      <c r="L4" s="28" t="s">
        <v>982</v>
      </c>
    </row>
    <row r="5" spans="1:12" x14ac:dyDescent="0.3">
      <c r="A5" s="36" t="s">
        <v>104</v>
      </c>
      <c r="B5" s="37" t="s">
        <v>876</v>
      </c>
      <c r="C5" s="38" cm="1">
        <f t="array" ref="C5">IFERROR(INDEX('Expected Production'!$B$2:$B$79,MATCH(TRIM($A5),INDEX(TRIM('Expected Production'!$A$2:$A$79),0),0)),"Not found")</f>
        <v>0.9</v>
      </c>
      <c r="D5" s="39" cm="1">
        <f t="array" aca="1" ref="D5" ca="1">_xlfn.IFNA(_xlfn.XLOOKUP(TRIM(A5),TRIM(site_tech_info!$A$2:$A$79),site_tech_info!$W$2:$W$79),"")</f>
        <v>3.137577002053388</v>
      </c>
      <c r="E5" s="40" cm="1">
        <f t="array" ref="E5">IFERROR(SUM(INDEX('Simulated Production'!$B$2:$M$79,MATCH(TRIM($A5),INDEX(TRIM('Simulated Production'!$A$2:$A$79),0),0),0)),"Not found")</f>
        <v>45617</v>
      </c>
      <c r="F5" s="41">
        <f ca="1">(Table2[[#This Row],[As-Built kWh]]*Table2[[#This Row],[Expected Utilisation%]])*(1-0.007)^(Table2[[#This Row],[Age]])</f>
        <v>40160.329022059857</v>
      </c>
      <c r="G5" s="41">
        <f ca="1">(4681+3499*(9/31)+2081*(10/31)+4317*(3/30)+4991*(18/31))*(1-0.007)^(Table2[[#This Row],[Age]])</f>
        <v>9486.4245233908478</v>
      </c>
      <c r="H5" s="40">
        <f t="shared" ca="1" si="0"/>
        <v>30673.90449866901</v>
      </c>
      <c r="I5" s="40" cm="1">
        <f t="array" ref="I5">SUMPRODUCT((TRIM(measured[Site Name])=TRIM($A5))*(measured[Date]&gt;=DATE(2025,7,1))*(measured[Date]&lt;=DATE(2026,6,30))*measured[Measured Value (kWh)])</f>
        <v>24341.599999999999</v>
      </c>
      <c r="J5" s="40">
        <f t="shared" ca="1" si="1"/>
        <v>-6332.3044986690111</v>
      </c>
      <c r="K5" s="40">
        <f ca="1">(Table2[[#This Row],[Actual Generation (kWh)]]/Table2[[#This Row],[Correct kWh]])*100</f>
        <v>79.356053289714779</v>
      </c>
    </row>
    <row r="6" spans="1:12" x14ac:dyDescent="0.3">
      <c r="A6" s="1" t="s">
        <v>107</v>
      </c>
      <c r="B6" t="s">
        <v>876</v>
      </c>
      <c r="C6" s="9" cm="1">
        <f t="array" ref="C6">IFERROR(INDEX('Expected Production'!$B$2:$B$79,MATCH(TRIM($A6),INDEX(TRIM('Expected Production'!$A$2:$A$79),0),0)),"Not found")</f>
        <v>0.9</v>
      </c>
      <c r="D6" s="20" cm="1">
        <f t="array" aca="1" ref="D6" ca="1">_xlfn.IFNA(_xlfn.XLOOKUP(TRIM(A6),TRIM(site_tech_info!$A$2:$A$79),site_tech_info!$W$2:$W$79),"")</f>
        <v>3.137577002053388</v>
      </c>
      <c r="E6" s="14" cm="1">
        <f t="array" ref="E6">IFERROR(SUM(INDEX('Simulated Production'!$B$2:$M$79,MATCH(TRIM($A6),INDEX(TRIM('Simulated Production'!$A$2:$A$79),0),0),0)),"Not found")</f>
        <v>40942</v>
      </c>
      <c r="F6" s="5">
        <f ca="1">(Table2[[#This Row],[As-Built kWh]]*Table2[[#This Row],[Expected Utilisation%]])*(1-0.007)^(Table2[[#This Row],[Age]])</f>
        <v>36044.548980011285</v>
      </c>
      <c r="G6" s="5">
        <f ca="1">(2974*(24/31)+3147*(2/30))*(1-0.007)^(Table2[[#This Row],[Age]])</f>
        <v>2457.4866426598787</v>
      </c>
      <c r="H6" s="14">
        <f t="shared" ca="1" si="0"/>
        <v>33587.062337351403</v>
      </c>
      <c r="I6" s="14" cm="1">
        <f t="array" ref="I6">SUMPRODUCT((TRIM(measured[Site Name])=TRIM($A6))*(measured[Date]&gt;=DATE(2025,7,1))*(measured[Date]&lt;=DATE(2026,6,30))*measured[Measured Value (kWh)])</f>
        <v>32105.499999999996</v>
      </c>
      <c r="J6" s="14">
        <f t="shared" ca="1" si="1"/>
        <v>-1481.5623373514063</v>
      </c>
      <c r="K6" s="14">
        <f ca="1">(Table2[[#This Row],[Actual Generation (kWh)]]/Table2[[#This Row],[Correct kWh]])*100</f>
        <v>95.588889785982275</v>
      </c>
      <c r="L6" t="s">
        <v>881</v>
      </c>
    </row>
    <row r="7" spans="1:12" x14ac:dyDescent="0.3">
      <c r="A7" s="27" t="s">
        <v>114</v>
      </c>
      <c r="B7" s="28" t="s">
        <v>876</v>
      </c>
      <c r="C7" s="29" cm="1">
        <f t="array" ref="C7">IFERROR(INDEX('Expected Production'!$B$2:$B$79,MATCH(TRIM($A7),INDEX(TRIM('Expected Production'!$A$2:$A$79),0),0)),"Not found")</f>
        <v>0.85</v>
      </c>
      <c r="D7" s="30" cm="1">
        <f t="array" aca="1" ref="D7" ca="1">_xlfn.IFNA(_xlfn.XLOOKUP(TRIM(A7),TRIM(site_tech_info!$A$2:$A$79),site_tech_info!$W$2:$W$79),"")</f>
        <v>2.8555783709787819</v>
      </c>
      <c r="E7" s="31" cm="1">
        <f t="array" ref="E7">IFERROR(SUM(INDEX('Simulated Production'!$B$2:$M$79,MATCH(TRIM($A7),INDEX(TRIM('Simulated Production'!$A$2:$A$79),0),0),0)),"Not found")</f>
        <v>319608</v>
      </c>
      <c r="F7" s="32">
        <f ca="1">(Table2[[#This Row],[As-Built kWh]]*Table2[[#This Row],[Expected Utilisation%]])*(1-0.007)^(Table2[[#This Row],[Age]])</f>
        <v>266271.63631895022</v>
      </c>
      <c r="G7" s="32">
        <v>0</v>
      </c>
      <c r="H7" s="31">
        <f t="shared" ca="1" si="0"/>
        <v>266271.63631895022</v>
      </c>
      <c r="I7" s="31" cm="1">
        <f t="array" ref="I7">SUMPRODUCT((TRIM(measured[Site Name])=TRIM($A7))*(measured[Date]&gt;=DATE(2025,7,1))*(measured[Date]&lt;=DATE(2026,6,30))*measured[Measured Value (kWh)])</f>
        <v>254905.02</v>
      </c>
      <c r="J7" s="31">
        <f t="shared" ca="1" si="1"/>
        <v>-11366.616318950226</v>
      </c>
      <c r="K7" s="31">
        <f ca="1">(Table2[[#This Row],[Actual Generation (kWh)]]/Table2[[#This Row],[Correct kWh]])*100</f>
        <v>95.731195227517645</v>
      </c>
      <c r="L7" s="28" t="s">
        <v>985</v>
      </c>
    </row>
    <row r="8" spans="1:12" x14ac:dyDescent="0.3">
      <c r="A8" s="27" t="s">
        <v>117</v>
      </c>
      <c r="B8" s="28" t="s">
        <v>876</v>
      </c>
      <c r="C8" s="29" cm="1">
        <f t="array" ref="C8">IFERROR(INDEX('Expected Production'!$B$2:$B$79,MATCH(TRIM($A8),INDEX(TRIM('Expected Production'!$A$2:$A$79),0),0)),"Not found")</f>
        <v>0.9</v>
      </c>
      <c r="D8" s="30" cm="1">
        <f t="array" aca="1" ref="D8" ca="1">_xlfn.IFNA(_xlfn.XLOOKUP(TRIM(A8),TRIM(site_tech_info!$A$2:$A$79),site_tech_info!$W$2:$W$79),"")</f>
        <v>2.0670773442847366</v>
      </c>
      <c r="E8" s="31" cm="1">
        <f t="array" ref="E8">IFERROR(SUM(INDEX('Simulated Production'!$B$2:$M$79,MATCH(TRIM($A8),INDEX(TRIM('Simulated Production'!$A$2:$A$79),0),0),0)),"Not found")</f>
        <v>355254</v>
      </c>
      <c r="F8" s="32">
        <f ca="1">(Table2[[#This Row],[As-Built kWh]]*Table2[[#This Row],[Expected Utilisation%]])*(1-0.007)^(Table2[[#This Row],[Age]])</f>
        <v>315119.54934125592</v>
      </c>
      <c r="G8" s="32">
        <f ca="1">((22354*(0.5)+26969*(7/31))*(1-0.007)^(Table2[[#This Row],[Age]]))*(1-0.007)^(Table2[[#This Row],[Age]])</f>
        <v>16772.543655042915</v>
      </c>
      <c r="H8" s="31">
        <f t="shared" ca="1" si="0"/>
        <v>298347.00568621303</v>
      </c>
      <c r="I8" s="31" cm="1">
        <f t="array" ref="I8">SUMPRODUCT((TRIM(measured[Site Name])=TRIM($A8))*(measured[Date]&gt;=DATE(2025,7,1))*(measured[Date]&lt;=DATE(2026,6,30))*measured[Measured Value (kWh)])</f>
        <v>271722.179</v>
      </c>
      <c r="J8" s="31">
        <f t="shared" ca="1" si="1"/>
        <v>-26624.826686213026</v>
      </c>
      <c r="K8" s="31">
        <f ca="1">(Table2[[#This Row],[Actual Generation (kWh)]]/Table2[[#This Row],[Correct kWh]])*100</f>
        <v>91.075886072670784</v>
      </c>
      <c r="L8" s="28" t="s">
        <v>989</v>
      </c>
    </row>
    <row r="9" spans="1:12" s="28" customFormat="1" x14ac:dyDescent="0.3">
      <c r="A9" s="27" t="s">
        <v>127</v>
      </c>
      <c r="B9" s="28" t="s">
        <v>876</v>
      </c>
      <c r="C9" s="29" cm="1">
        <f t="array" ref="C9">IFERROR(INDEX('Expected Production'!$B$2:$B$79,MATCH(TRIM($A9),INDEX(TRIM('Expected Production'!$A$2:$A$79),0),0)),"Not found")</f>
        <v>0.8</v>
      </c>
      <c r="D9" s="30" cm="1">
        <f t="array" aca="1" ref="D9" ca="1">_xlfn.IFNA(_xlfn.XLOOKUP(TRIM(A9),TRIM(site_tech_info!$A$2:$A$79),site_tech_info!$W$2:$W$79),"")</f>
        <v>2.3709787816563996</v>
      </c>
      <c r="E9" s="31" cm="1">
        <f t="array" ref="E9">IFERROR(SUM(INDEX('Simulated Production'!$B$2:$M$79,MATCH(TRIM($A9),INDEX(TRIM('Simulated Production'!$A$2:$A$79),0),0),0)),"Not found")</f>
        <v>200775</v>
      </c>
      <c r="F9" s="32">
        <f ca="1">(Table2[[#This Row],[As-Built kWh]]*Table2[[#This Row],[Expected Utilisation%]])*(1-0.007)^(Table2[[#This Row],[Age]])</f>
        <v>157966.99420931525</v>
      </c>
      <c r="G9" s="32">
        <f ca="1">('Expected Production'!I34*0.5+'Expected Production'!C34*0.8)*(1-0.007)^(Table2[[#This Row],[Age]])</f>
        <v>17826.765108685857</v>
      </c>
      <c r="H9" s="31">
        <f t="shared" ca="1" si="0"/>
        <v>140140.2291006294</v>
      </c>
      <c r="I9" s="31" cm="1">
        <f t="array" ref="I9">SUMPRODUCT((TRIM(measured[Site Name])=TRIM($A9))*(measured[Date]&gt;=DATE(2025,7,1))*(measured[Date]&lt;=DATE(2026,6,30))*measured[Measured Value (kWh)])</f>
        <v>147166.31</v>
      </c>
      <c r="J9" s="31">
        <f t="shared" ca="1" si="1"/>
        <v>7026.0808993706014</v>
      </c>
      <c r="K9" s="31">
        <f ca="1">(Table2[[#This Row],[Actual Generation (kWh)]]/Table2[[#This Row],[Correct kWh]])*100</f>
        <v>105.01360740200121</v>
      </c>
      <c r="L9" s="28" t="s">
        <v>990</v>
      </c>
    </row>
    <row r="10" spans="1:12" s="28" customFormat="1" x14ac:dyDescent="0.3">
      <c r="A10" s="27" t="s">
        <v>131</v>
      </c>
      <c r="B10" s="28" t="s">
        <v>876</v>
      </c>
      <c r="C10" s="29" cm="1">
        <f t="array" ref="C10">IFERROR(INDEX('Expected Production'!$B$2:$B$79,MATCH(TRIM($A10),INDEX(TRIM('Expected Production'!$A$2:$A$79),0),0)),"Not found")</f>
        <v>0.9</v>
      </c>
      <c r="D10" s="30" cm="1">
        <f t="array" aca="1" ref="D10" ca="1">_xlfn.IFNA(_xlfn.XLOOKUP(TRIM(A10),TRIM(site_tech_info!$A$2:$A$79),site_tech_info!$W$2:$W$79),"")</f>
        <v>3.4360027378507869</v>
      </c>
      <c r="E10" s="31" cm="1">
        <f t="array" ref="E10">IFERROR(SUM(INDEX('Simulated Production'!$B$2:$M$79,MATCH(TRIM($A10),INDEX(TRIM('Simulated Production'!$A$2:$A$79),0),0),0)),"Not found")</f>
        <v>73186</v>
      </c>
      <c r="F10" s="32">
        <f ca="1">(Table2[[#This Row],[As-Built kWh]]*Table2[[#This Row],[Expected Utilisation%]])*(1-0.007)^(Table2[[#This Row],[Age]])</f>
        <v>64296.618088182229</v>
      </c>
      <c r="G10" s="32">
        <v>0</v>
      </c>
      <c r="H10" s="31">
        <f t="shared" ca="1" si="0"/>
        <v>64296.618088182229</v>
      </c>
      <c r="I10" s="31" cm="1">
        <f t="array" ref="I10">SUMPRODUCT((TRIM(measured[Site Name])=TRIM($A10))*(measured[Date]&gt;=DATE(2025,7,1))*(measured[Date]&lt;=DATE(2026,6,30))*measured[Measured Value (kWh)])</f>
        <v>61467.39</v>
      </c>
      <c r="J10" s="31">
        <f t="shared" ca="1" si="1"/>
        <v>-2829.2280881822298</v>
      </c>
      <c r="K10" s="31">
        <f ca="1">(Table2[[#This Row],[Actual Generation (kWh)]]/Table2[[#This Row],[Correct kWh]])*100</f>
        <v>95.599724880860819</v>
      </c>
      <c r="L10" s="28" t="s">
        <v>982</v>
      </c>
    </row>
    <row r="11" spans="1:12" x14ac:dyDescent="0.3">
      <c r="A11" s="1" t="s">
        <v>142</v>
      </c>
      <c r="B11" t="s">
        <v>876</v>
      </c>
      <c r="C11" s="9" cm="1">
        <f t="array" ref="C11">IFERROR(INDEX('Expected Production'!$B$2:$B$79,MATCH(TRIM($A11),INDEX(TRIM('Expected Production'!$A$2:$A$79),0),0)),"Not found")</f>
        <v>0.9</v>
      </c>
      <c r="D11" s="20" cm="1">
        <f t="array" aca="1" ref="D11" ca="1">_xlfn.IFNA(_xlfn.XLOOKUP(TRIM(A11),TRIM(site_tech_info!$A$2:$A$79),site_tech_info!$W$2:$W$79),"")</f>
        <v>2.8583162217659139</v>
      </c>
      <c r="E11" s="14" cm="1">
        <f t="array" ref="E11">IFERROR(SUM(INDEX('Simulated Production'!$B$2:$M$79,MATCH(TRIM($A11),INDEX(TRIM('Simulated Production'!$A$2:$A$79),0),0),0)),"Not found")</f>
        <v>66026</v>
      </c>
      <c r="F11" s="5">
        <f ca="1">(Table2[[#This Row],[As-Built kWh]]*Table2[[#This Row],[Expected Utilisation%]])*(1-0.007)^(Table2[[#This Row],[Age]])</f>
        <v>58242.161528858138</v>
      </c>
      <c r="G11" s="5">
        <v>0</v>
      </c>
      <c r="H11" s="14">
        <f t="shared" ca="1" si="0"/>
        <v>58242.161528858138</v>
      </c>
      <c r="I11" s="14" cm="1">
        <f t="array" ref="I11">SUMPRODUCT((TRIM(measured[Site Name])=TRIM($A11))*(measured[Date]&gt;=DATE(2025,7,1))*(measured[Date]&lt;=DATE(2026,6,30))*measured[Measured Value (kWh)])</f>
        <v>46668.700000000004</v>
      </c>
      <c r="J11" s="14">
        <f t="shared" ca="1" si="1"/>
        <v>-11573.461528858134</v>
      </c>
      <c r="K11" s="14">
        <f ca="1">(Table2[[#This Row],[Actual Generation (kWh)]]/Table2[[#This Row],[Correct kWh]])*100</f>
        <v>80.128722518096012</v>
      </c>
      <c r="L11" t="s">
        <v>881</v>
      </c>
    </row>
    <row r="12" spans="1:12" x14ac:dyDescent="0.3">
      <c r="A12" s="1" t="s">
        <v>149</v>
      </c>
      <c r="B12" t="s">
        <v>876</v>
      </c>
      <c r="C12" s="9" cm="1">
        <f t="array" ref="C12">IFERROR(INDEX('Expected Production'!$B$2:$B$79,MATCH(TRIM($A12),INDEX(TRIM('Expected Production'!$A$2:$A$79),0),0)),"Not found")</f>
        <v>0.75</v>
      </c>
      <c r="D12" s="20" cm="1">
        <f t="array" aca="1" ref="D12" ca="1">_xlfn.IFNA(_xlfn.XLOOKUP(TRIM(A12),TRIM(site_tech_info!$A$2:$A$79),site_tech_info!$W$2:$W$79),"")</f>
        <v>4.1889117043121153</v>
      </c>
      <c r="E12" s="14" cm="1">
        <f t="array" ref="E12">IFERROR(SUM(INDEX('Simulated Production'!$B$2:$M$79,MATCH(TRIM($A12),INDEX(TRIM('Simulated Production'!$A$2:$A$79),0),0),0)),"Not found")</f>
        <v>125072.49999999997</v>
      </c>
      <c r="F12" s="5">
        <f ca="1">(Table2[[#This Row],[As-Built kWh]]*Table2[[#This Row],[Expected Utilisation%]])*(1-0.007)^(Table2[[#This Row],[Age]])</f>
        <v>91084.350430094186</v>
      </c>
      <c r="G12" s="5">
        <f ca="1">(5691*0.3*(1-0.007)^(Table2[[#This Row],[Age]]))*(1-0.007)^(Table2[[#This Row],[Age]])</f>
        <v>1609.7231244877617</v>
      </c>
      <c r="H12" s="14">
        <f t="shared" ca="1" si="0"/>
        <v>89474.627305606424</v>
      </c>
      <c r="I12" s="14" cm="1">
        <f t="array" ref="I12">SUMPRODUCT((TRIM(measured[Site Name])=TRIM($A12))*(measured[Date]&gt;=DATE(2025,7,1))*(measured[Date]&lt;=DATE(2026,6,30))*measured[Measured Value (kWh)])</f>
        <v>72438</v>
      </c>
      <c r="J12" s="14">
        <f t="shared" ca="1" si="1"/>
        <v>-17036.627305606424</v>
      </c>
      <c r="K12" s="14">
        <f ca="1">(Table2[[#This Row],[Actual Generation (kWh)]]/Table2[[#This Row],[Correct kWh]])*100</f>
        <v>80.959264298004044</v>
      </c>
      <c r="L12" t="s">
        <v>881</v>
      </c>
    </row>
    <row r="13" spans="1:12" x14ac:dyDescent="0.3">
      <c r="A13" s="1" t="s">
        <v>160</v>
      </c>
      <c r="B13" t="s">
        <v>876</v>
      </c>
      <c r="C13" s="9" cm="1">
        <f t="array" ref="C13">IFERROR(INDEX('Expected Production'!$B$2:$B$79,MATCH(TRIM($A13),INDEX(TRIM('Expected Production'!$A$2:$A$79),0),0)),"Not found")</f>
        <v>0.85</v>
      </c>
      <c r="D13" s="20" cm="1">
        <f t="array" aca="1" ref="D13" ca="1">_xlfn.IFNA(_xlfn.XLOOKUP(TRIM(A13),TRIM(site_tech_info!$A$2:$A$79),site_tech_info!$W$2:$W$79),"")</f>
        <v>2.6091718001368926</v>
      </c>
      <c r="E13" s="14" cm="1">
        <f t="array" ref="E13">IFERROR(SUM(INDEX('Simulated Production'!$B$2:$M$79,MATCH(TRIM($A13),INDEX(TRIM('Simulated Production'!$A$2:$A$79),0),0),0)),"Not found")</f>
        <v>225937</v>
      </c>
      <c r="F13" s="5">
        <f ca="1">(Table2[[#This Row],[As-Built kWh]]*Table2[[#This Row],[Expected Utilisation%]])*(1-0.007)^(Table2[[#This Row],[Age]])</f>
        <v>188558.60164860971</v>
      </c>
      <c r="G13" s="5">
        <v>0</v>
      </c>
      <c r="H13" s="14">
        <f t="shared" ca="1" si="0"/>
        <v>188558.60164860971</v>
      </c>
      <c r="I13" s="14" cm="1">
        <f t="array" ref="I13">SUMPRODUCT((TRIM(measured[Site Name])=TRIM($A13))*(measured[Date]&gt;=DATE(2025,7,1))*(measured[Date]&lt;=DATE(2026,6,30))*measured[Measured Value (kWh)])</f>
        <v>176720.45</v>
      </c>
      <c r="J13" s="14">
        <f t="shared" ca="1" si="1"/>
        <v>-11838.151648609695</v>
      </c>
      <c r="K13" s="14">
        <f ca="1">(Table2[[#This Row],[Actual Generation (kWh)]]/Table2[[#This Row],[Correct kWh]])*100</f>
        <v>93.72176525223135</v>
      </c>
      <c r="L13" t="s">
        <v>881</v>
      </c>
    </row>
    <row r="14" spans="1:12" x14ac:dyDescent="0.3">
      <c r="A14" s="1" t="s">
        <v>194</v>
      </c>
      <c r="B14" t="s">
        <v>876</v>
      </c>
      <c r="C14" s="9" cm="1">
        <f t="array" ref="C14">IFERROR(INDEX('Expected Production'!$B$2:$B$79,MATCH(TRIM($A14),INDEX(TRIM('Expected Production'!$A$2:$A$79),0),0)),"Not found")</f>
        <v>0.92500000000000004</v>
      </c>
      <c r="D14" s="20" cm="1">
        <f t="array" aca="1" ref="D14" ca="1">_xlfn.IFNA(_xlfn.XLOOKUP(TRIM(A14),TRIM(site_tech_info!$A$2:$A$79),site_tech_info!$W$2:$W$79),"")</f>
        <v>2.9869952087611225</v>
      </c>
      <c r="E14" s="14" cm="1">
        <f t="array" ref="E14">IFERROR(SUM(INDEX('Simulated Production'!$B$2:$M$79,MATCH(TRIM($A14),INDEX(TRIM('Simulated Production'!$A$2:$A$79),0),0),0)),"Not found")</f>
        <v>81158</v>
      </c>
      <c r="F14" s="5">
        <f ca="1">(Table2[[#This Row],[As-Built kWh]]*Table2[[#This Row],[Expected Utilisation%]])*(1-0.007)^(Table2[[#This Row],[Age]])</f>
        <v>73512.380877277799</v>
      </c>
      <c r="G14" s="5">
        <v>0</v>
      </c>
      <c r="H14" s="14">
        <f t="shared" ca="1" si="0"/>
        <v>73512.380877277799</v>
      </c>
      <c r="I14" s="14" cm="1">
        <f t="array" ref="I14">SUMPRODUCT((TRIM(measured[Site Name])=TRIM($A14))*(measured[Date]&gt;=DATE(2025,7,1))*(measured[Date]&lt;=DATE(2026,6,30))*measured[Measured Value (kWh)])</f>
        <v>56043.3</v>
      </c>
      <c r="J14" s="14">
        <f t="shared" ca="1" si="1"/>
        <v>-17469.080877277796</v>
      </c>
      <c r="K14" s="14">
        <f ca="1">(Table2[[#This Row],[Actual Generation (kWh)]]/Table2[[#This Row],[Correct kWh]])*100</f>
        <v>76.236545914026593</v>
      </c>
      <c r="L14" t="s">
        <v>881</v>
      </c>
    </row>
    <row r="15" spans="1:12" x14ac:dyDescent="0.3">
      <c r="A15" s="1" t="s">
        <v>202</v>
      </c>
      <c r="B15" t="s">
        <v>876</v>
      </c>
      <c r="C15" s="9" cm="1">
        <f t="array" ref="C15">IFERROR(INDEX('Expected Production'!$B$2:$B$79,MATCH(TRIM($A15),INDEX(TRIM('Expected Production'!$A$2:$A$79),0),0)),"Not found")</f>
        <v>0.9</v>
      </c>
      <c r="D15" s="20" cm="1">
        <f t="array" aca="1" ref="D15" ca="1">_xlfn.IFNA(_xlfn.XLOOKUP(TRIM(A15),TRIM(site_tech_info!$A$2:$A$79),site_tech_info!$W$2:$W$79),"")</f>
        <v>2.8555783709787819</v>
      </c>
      <c r="E15" s="14" cm="1">
        <f t="array" ref="E15">IFERROR(SUM(INDEX('Simulated Production'!$B$2:$M$79,MATCH(TRIM($A15),INDEX(TRIM('Simulated Production'!$A$2:$A$79),0),0),0)),"Not found")</f>
        <v>312107</v>
      </c>
      <c r="F15" s="5">
        <f ca="1">(Table2[[#This Row],[As-Built kWh]]*Table2[[#This Row],[Expected Utilisation%]])*(1-0.007)^(Table2[[#This Row],[Age]])</f>
        <v>275317.84317015816</v>
      </c>
      <c r="G15" s="5">
        <v>0</v>
      </c>
      <c r="H15" s="14">
        <f t="shared" ca="1" si="0"/>
        <v>275317.84317015816</v>
      </c>
      <c r="I15" s="14" cm="1">
        <f t="array" ref="I15">SUMPRODUCT((TRIM(measured[Site Name])=TRIM($A15))*(measured[Date]&gt;=DATE(2025,7,1))*(measured[Date]&lt;=DATE(2026,6,30))*measured[Measured Value (kWh)])</f>
        <v>237169.27</v>
      </c>
      <c r="J15" s="14">
        <f t="shared" ca="1" si="1"/>
        <v>-38148.573170158168</v>
      </c>
      <c r="K15" s="14">
        <f ca="1">(Table2[[#This Row],[Actual Generation (kWh)]]/Table2[[#This Row],[Correct kWh]])*100</f>
        <v>86.143806470770329</v>
      </c>
      <c r="L15" t="s">
        <v>881</v>
      </c>
    </row>
    <row r="16" spans="1:12" x14ac:dyDescent="0.3">
      <c r="A16" s="1" t="s">
        <v>213</v>
      </c>
      <c r="B16" t="s">
        <v>876</v>
      </c>
      <c r="C16" s="9" cm="1">
        <f t="array" ref="C16">IFERROR(INDEX('Expected Production'!$B$2:$B$79,MATCH(TRIM($A16),INDEX(TRIM('Expected Production'!$A$2:$A$79),0),0)),"Not found")</f>
        <v>0.9</v>
      </c>
      <c r="D16" s="20" cm="1">
        <f t="array" aca="1" ref="D16" ca="1">_xlfn.IFNA(_xlfn.XLOOKUP(TRIM(A16),TRIM(site_tech_info!$A$2:$A$79),site_tech_info!$W$2:$W$79),"")</f>
        <v>2.8993839835728954</v>
      </c>
      <c r="E16" s="14" cm="1">
        <f t="array" ref="E16">IFERROR(SUM(INDEX('Simulated Production'!$B$2:$M$79,MATCH(TRIM($A16),INDEX(TRIM('Simulated Production'!$A$2:$A$79),0),0),0)),"Not found")</f>
        <v>96848.548387096773</v>
      </c>
      <c r="F16" s="5">
        <f ca="1">(Table2[[#This Row],[As-Built kWh]]*Table2[[#This Row],[Expected Utilisation%]])*(1-0.007)^(Table2[[#This Row],[Age]])</f>
        <v>85406.382094217915</v>
      </c>
      <c r="G16" s="5">
        <f ca="1">(6087*(1-0.007)^(Table2[[#This Row],[Age]]))*(1-0.007)^(Table2[[#This Row],[Age]])</f>
        <v>5844.0335653753054</v>
      </c>
      <c r="H16" s="14">
        <f t="shared" ca="1" si="0"/>
        <v>79562.348528842616</v>
      </c>
      <c r="I16" s="14" cm="1">
        <f t="array" ref="I16">SUMPRODUCT((TRIM(measured[Site Name])=TRIM($A16))*(measured[Date]&gt;=DATE(2025,7,1))*(measured[Date]&lt;=DATE(2026,6,30))*measured[Measured Value (kWh)])</f>
        <v>77775.48</v>
      </c>
      <c r="J16" s="14">
        <f t="shared" ca="1" si="1"/>
        <v>-1786.8685288426204</v>
      </c>
      <c r="K16" s="14">
        <f ca="1">(Table2[[#This Row],[Actual Generation (kWh)]]/Table2[[#This Row],[Correct kWh]])*100</f>
        <v>97.754127973994059</v>
      </c>
      <c r="L16" t="s">
        <v>881</v>
      </c>
    </row>
    <row r="17" spans="1:12" x14ac:dyDescent="0.3">
      <c r="A17" s="1" t="s">
        <v>218</v>
      </c>
      <c r="B17" t="s">
        <v>876</v>
      </c>
      <c r="C17" s="9" cm="1">
        <f t="array" ref="C17">IFERROR(INDEX('Expected Production'!$B$2:$B$79,MATCH(TRIM($A17),INDEX(TRIM('Expected Production'!$A$2:$A$79),0),0)),"Not found")</f>
        <v>0.9</v>
      </c>
      <c r="D17" s="20" cm="1">
        <f t="array" aca="1" ref="D17" ca="1">_xlfn.IFNA(_xlfn.XLOOKUP(TRIM(A17),TRIM(site_tech_info!$A$2:$A$79),site_tech_info!$W$2:$W$79),"")</f>
        <v>2.8993839835728954</v>
      </c>
      <c r="E17" s="14" cm="1">
        <f t="array" ref="E17">IFERROR(SUM(INDEX('Simulated Production'!$B$2:$M$79,MATCH(TRIM($A17),INDEX(TRIM('Simulated Production'!$A$2:$A$79),0),0),0)),"Not found")</f>
        <v>100237.87096774194</v>
      </c>
      <c r="F17" s="5">
        <f ca="1">(Table2[[#This Row],[As-Built kWh]]*Table2[[#This Row],[Expected Utilisation%]])*(1-0.007)^(Table2[[#This Row],[Age]])</f>
        <v>88395.273349522555</v>
      </c>
      <c r="G17" s="5">
        <f ca="1">(6247*(1-0.007)^(Table2[[#This Row],[Age]]))*(1-0.007)^(Table2[[#This Row],[Age]])</f>
        <v>5997.6470647116039</v>
      </c>
      <c r="H17" s="14">
        <f t="shared" ca="1" si="0"/>
        <v>82397.626284810947</v>
      </c>
      <c r="I17" s="14" cm="1">
        <f t="array" ref="I17">SUMPRODUCT((TRIM(measured[Site Name])=TRIM($A17))*(measured[Date]&gt;=DATE(2025,7,1))*(measured[Date]&lt;=DATE(2026,6,30))*measured[Measured Value (kWh)])</f>
        <v>78264.639999999999</v>
      </c>
      <c r="J17" s="14">
        <f t="shared" ca="1" si="1"/>
        <v>-4132.9862848109478</v>
      </c>
      <c r="K17" s="14">
        <f ca="1">(Table2[[#This Row],[Actual Generation (kWh)]]/Table2[[#This Row],[Correct kWh]])*100</f>
        <v>94.98409545133606</v>
      </c>
      <c r="L17" t="s">
        <v>881</v>
      </c>
    </row>
    <row r="18" spans="1:12" x14ac:dyDescent="0.3">
      <c r="A18" s="1" t="s">
        <v>220</v>
      </c>
      <c r="B18" t="s">
        <v>876</v>
      </c>
      <c r="C18" s="9" cm="1">
        <f t="array" ref="C18">IFERROR(INDEX('Expected Production'!$B$2:$B$79,MATCH(TRIM($A18),INDEX(TRIM('Expected Production'!$A$2:$A$79),0),0)),"Not found")</f>
        <v>0.9</v>
      </c>
      <c r="D18" s="20" cm="1">
        <f t="array" aca="1" ref="D18" ca="1">_xlfn.IFNA(_xlfn.XLOOKUP(TRIM(A18),TRIM(site_tech_info!$A$2:$A$79),site_tech_info!$W$2:$W$79),"")</f>
        <v>0.80492813141683783</v>
      </c>
      <c r="E18" s="14" cm="1">
        <f t="array" ref="E18">IFERROR(SUM(INDEX('Simulated Production'!$B$2:$M$79,MATCH(TRIM($A18),INDEX(TRIM('Simulated Production'!$A$2:$A$79),0),0),0)),"Not found")</f>
        <v>524973</v>
      </c>
      <c r="F18" s="5">
        <f ca="1">(Table2[[#This Row],[As-Built kWh]]*Table2[[#This Row],[Expected Utilisation%]])*(1-0.007)^(Table2[[#This Row],[Age]])</f>
        <v>469811.71443988546</v>
      </c>
      <c r="G18" s="5">
        <f ca="1">(31229+36815+40778+47657*(5/30))*(1-0.007)^(Table2[[#This Row],[Age]])</f>
        <v>116106.47179235</v>
      </c>
      <c r="H18" s="14">
        <f t="shared" ca="1" si="0"/>
        <v>353705.24264753546</v>
      </c>
      <c r="I18" s="14" cm="1">
        <f t="array" ref="I18">SUMPRODUCT((TRIM(measured[Site Name])=TRIM($A18))*(measured[Date]&gt;=DATE(2025,7,1))*(measured[Date]&lt;=DATE(2026,6,30))*measured[Measured Value (kWh)])</f>
        <v>300497.95500000002</v>
      </c>
      <c r="J18" s="14">
        <f t="shared" ca="1" si="1"/>
        <v>-53207.287647535442</v>
      </c>
      <c r="K18" s="14">
        <f ca="1">(Table2[[#This Row],[Actual Generation (kWh)]]/Table2[[#This Row],[Correct kWh]])*100</f>
        <v>84.95716737211157</v>
      </c>
      <c r="L18" t="s">
        <v>881</v>
      </c>
    </row>
    <row r="19" spans="1:12" x14ac:dyDescent="0.3">
      <c r="A19" s="1" t="s">
        <v>222</v>
      </c>
      <c r="B19" t="s">
        <v>876</v>
      </c>
      <c r="C19" s="9" cm="1">
        <f t="array" ref="C19">IFERROR(INDEX('Expected Production'!$B$2:$B$79,MATCH(TRIM($A19),INDEX(TRIM('Expected Production'!$A$2:$A$79),0),0)),"Not found")</f>
        <v>0.9</v>
      </c>
      <c r="D19" s="20" cm="1">
        <f t="array" aca="1" ref="D19" ca="1">_xlfn.IFNA(_xlfn.XLOOKUP(TRIM(A19),TRIM(site_tech_info!$A$2:$A$79),site_tech_info!$W$2:$W$79),"")</f>
        <v>0.80492813141683783</v>
      </c>
      <c r="E19" s="14" cm="1">
        <f t="array" ref="E19">IFERROR(SUM(INDEX('Simulated Production'!$B$2:$M$79,MATCH(TRIM($A19),INDEX(TRIM('Simulated Production'!$A$2:$A$79),0),0),0)),"Not found")</f>
        <v>138565</v>
      </c>
      <c r="F19" s="5">
        <f ca="1">(Table2[[#This Row],[As-Built kWh]]*Table2[[#This Row],[Expected Utilisation%]])*(1-0.007)^(Table2[[#This Row],[Age]])</f>
        <v>124005.34924912849</v>
      </c>
      <c r="G19" s="5">
        <f ca="1">(8307+9721+10756+12191*(5/30))*(1-0.007)^(Table2[[#This Row],[Age]])</f>
        <v>30642.082736164215</v>
      </c>
      <c r="H19" s="14">
        <f t="shared" ca="1" si="0"/>
        <v>93363.26651296427</v>
      </c>
      <c r="I19" s="14" cm="1">
        <f t="array" ref="I19">SUMPRODUCT((TRIM(measured[Site Name])=TRIM($A19))*(measured[Date]&gt;=DATE(2025,7,1))*(measured[Date]&lt;=DATE(2026,6,30))*measured[Measured Value (kWh)])</f>
        <v>81974.632769999997</v>
      </c>
      <c r="J19" s="14">
        <f t="shared" ca="1" si="1"/>
        <v>-11388.633742964274</v>
      </c>
      <c r="K19" s="14">
        <f ca="1">(Table2[[#This Row],[Actual Generation (kWh)]]/Table2[[#This Row],[Correct kWh]])*100</f>
        <v>87.80180453371041</v>
      </c>
      <c r="L19" t="s">
        <v>881</v>
      </c>
    </row>
    <row r="20" spans="1:12" x14ac:dyDescent="0.3">
      <c r="A20" s="1" t="s">
        <v>223</v>
      </c>
      <c r="B20" t="s">
        <v>876</v>
      </c>
      <c r="C20" s="9" cm="1">
        <f t="array" ref="C20">IFERROR(INDEX('Expected Production'!$B$2:$B$79,MATCH(TRIM($A20),INDEX(TRIM('Expected Production'!$A$2:$A$79),0),0)),"Not found")</f>
        <v>0.9</v>
      </c>
      <c r="D20" s="20" cm="1">
        <f t="array" aca="1" ref="D20" ca="1">_xlfn.IFNA(_xlfn.XLOOKUP(TRIM(A20),TRIM(site_tech_info!$A$2:$A$79),site_tech_info!$W$2:$W$79),"")</f>
        <v>0.77754962354551682</v>
      </c>
      <c r="E20" s="14" cm="1">
        <f t="array" ref="E20">IFERROR(SUM(INDEX('Simulated Production'!$B$2:$M$79,MATCH(TRIM($A20),INDEX(TRIM('Simulated Production'!$A$2:$A$79),0),0),0)),"Not found")</f>
        <v>89076</v>
      </c>
      <c r="F20" s="5">
        <f ca="1">(Table2[[#This Row],[As-Built kWh]]*Table2[[#This Row],[Expected Utilisation%]])*(1-0.007)^(Table2[[#This Row],[Age]])</f>
        <v>79731.714935110649</v>
      </c>
      <c r="G20" s="5">
        <f ca="1">(5785+6585+7019+7479+7553+7553*(3/30))*(1-0.007)^(Table2[[#This Row],[Age]])</f>
        <v>34984.691275763675</v>
      </c>
      <c r="H20" s="14">
        <f t="shared" ca="1" si="0"/>
        <v>44747.023659346974</v>
      </c>
      <c r="I20" s="14" cm="1">
        <f t="array" ref="I20">SUMPRODUCT((TRIM(measured[Site Name])=TRIM($A20))*(measured[Date]&gt;=DATE(2025,7,1))*(measured[Date]&lt;=DATE(2026,6,30))*measured[Measured Value (kWh)])</f>
        <v>33061.699999999997</v>
      </c>
      <c r="J20" s="14">
        <f t="shared" ca="1" si="1"/>
        <v>-11685.323659346977</v>
      </c>
      <c r="K20" s="14">
        <f ca="1">(Table2[[#This Row],[Actual Generation (kWh)]]/Table2[[#This Row],[Correct kWh]])*100</f>
        <v>73.88580802981275</v>
      </c>
      <c r="L20" t="s">
        <v>881</v>
      </c>
    </row>
    <row r="21" spans="1:12" x14ac:dyDescent="0.3">
      <c r="A21" s="1" t="s">
        <v>225</v>
      </c>
      <c r="B21" t="s">
        <v>876</v>
      </c>
      <c r="C21" s="9" cm="1">
        <f t="array" ref="C21">IFERROR(INDEX('Expected Production'!$B$2:$B$79,MATCH(TRIM($A21),INDEX(TRIM('Expected Production'!$A$2:$A$79),0),0)),"Not found")</f>
        <v>0.9</v>
      </c>
      <c r="D21" s="20" cm="1">
        <f t="array" aca="1" ref="D21" ca="1">_xlfn.IFNA(_xlfn.XLOOKUP(TRIM(A21),TRIM(site_tech_info!$A$2:$A$79),site_tech_info!$W$2:$W$79),"")</f>
        <v>0.77754962354551682</v>
      </c>
      <c r="E21" s="14" cm="1">
        <f t="array" ref="E21">IFERROR(SUM(INDEX('Simulated Production'!$B$2:$M$79,MATCH(TRIM($A21),INDEX(TRIM('Simulated Production'!$A$2:$A$79),0),0),0)),"Not found")</f>
        <v>89076</v>
      </c>
      <c r="F21" s="5">
        <f ca="1">(Table2[[#This Row],[As-Built kWh]]*Table2[[#This Row],[Expected Utilisation%]])*(1-0.007)^(Table2[[#This Row],[Age]])</f>
        <v>79731.714935110649</v>
      </c>
      <c r="G21" s="5">
        <f ca="1">(5785+6585+7019+7479+7553+7553*(3/30))*(1-0.007)^(Table2[[#This Row],[Age]])</f>
        <v>34984.691275763675</v>
      </c>
      <c r="H21" s="14">
        <f t="shared" ca="1" si="0"/>
        <v>44747.023659346974</v>
      </c>
      <c r="I21" s="14" cm="1">
        <f t="array" ref="I21">SUMPRODUCT((TRIM(measured[Site Name])=TRIM($A21))*(measured[Date]&gt;=DATE(2025,7,1))*(measured[Date]&lt;=DATE(2026,6,30))*measured[Measured Value (kWh)])</f>
        <v>47460.299999999996</v>
      </c>
      <c r="J21" s="14">
        <f t="shared" ca="1" si="1"/>
        <v>2713.2763406530212</v>
      </c>
      <c r="K21" s="14">
        <f ca="1">(Table2[[#This Row],[Actual Generation (kWh)]]/Table2[[#This Row],[Correct kWh]])*100</f>
        <v>106.06359064528812</v>
      </c>
      <c r="L21" t="s">
        <v>881</v>
      </c>
    </row>
    <row r="22" spans="1:12" x14ac:dyDescent="0.3">
      <c r="A22" t="s">
        <v>239</v>
      </c>
      <c r="B22" t="s">
        <v>876</v>
      </c>
      <c r="C22" s="9" cm="1">
        <f t="array" ref="C22">IFERROR(INDEX('Expected Production'!$B$2:$B$79,MATCH(TRIM($A22),INDEX(TRIM('Expected Production'!$A$2:$A$79),0),0)),"Not found")</f>
        <v>0.9</v>
      </c>
      <c r="D22" s="20" cm="1">
        <f t="array" aca="1" ref="D22" ca="1">_xlfn.IFNA(_xlfn.XLOOKUP(TRIM(A22),TRIM(site_tech_info!$A$2:$A$79),site_tech_info!$W$2:$W$79),"")</f>
        <v>0.731006160164271</v>
      </c>
      <c r="E22" s="14" cm="1">
        <f t="array" ref="E22">IFERROR(SUM(INDEX('Simulated Production'!$B$2:$M$79,MATCH(TRIM($A22),INDEX(TRIM('Simulated Production'!$A$2:$A$79),0),0),0)),"Not found")</f>
        <v>31637</v>
      </c>
      <c r="F22" s="5">
        <f ca="1">(Table2[[#This Row],[As-Built kWh]]*Table2[[#This Row],[Expected Utilisation%]])*(1-0.007)^(Table2[[#This Row],[Age]])</f>
        <v>28327.463315747405</v>
      </c>
      <c r="G22" s="5">
        <f ca="1">(2350+2520+2436+2426+2356+2437)*(1-0.007)^(Table2[[#This Row],[Age]])</f>
        <v>14450.604765209198</v>
      </c>
      <c r="H22" s="14">
        <f t="shared" ca="1" si="0"/>
        <v>13876.858550538207</v>
      </c>
      <c r="I22" s="14" cm="1">
        <f t="array" ref="I22">SUMPRODUCT((TRIM(measured[Site Name])=TRIM($A22))*(measured[Date]&gt;=DATE(2025,7,1))*(measured[Date]&lt;=DATE(2026,6,30))*measured[Measured Value (kWh)])</f>
        <v>17882.440000000002</v>
      </c>
      <c r="J22" s="14">
        <f t="shared" ca="1" si="1"/>
        <v>4005.5814494617953</v>
      </c>
      <c r="K22" s="14">
        <f ca="1">(Table2[[#This Row],[Actual Generation (kWh)]]/Table2[[#This Row],[Correct kWh]])*100</f>
        <v>128.86518901143114</v>
      </c>
      <c r="L22" t="s">
        <v>881</v>
      </c>
    </row>
    <row r="23" spans="1:12" s="22" customFormat="1" x14ac:dyDescent="0.3">
      <c r="A23" s="22" t="s">
        <v>249</v>
      </c>
      <c r="B23" s="22" t="s">
        <v>876</v>
      </c>
      <c r="C23" s="23" cm="1">
        <f t="array" ref="C23">IFERROR(INDEX('Expected Production'!$B$2:$B$79,MATCH(TRIM($A23),INDEX(TRIM('Expected Production'!$A$2:$A$79),0),0)),"Not found")</f>
        <v>0.9</v>
      </c>
      <c r="D23" s="24" cm="1">
        <f t="array" aca="1" ref="D23" ca="1">_xlfn.IFNA(_xlfn.XLOOKUP(TRIM(A23),TRIM(site_tech_info!$A$2:$A$79),site_tech_info!$W$2:$W$79),"")</f>
        <v>0.15331964407939766</v>
      </c>
      <c r="E23" s="25" cm="1">
        <f t="array" ref="E23">IFERROR(SUM(INDEX('Simulated Production'!$B$2:$M$79,MATCH(TRIM($A23),INDEX(TRIM('Simulated Production'!$A$2:$A$79),0),0),0)),"Not found")</f>
        <v>190644.6</v>
      </c>
      <c r="F23" s="26">
        <f ca="1">(Table2[[#This Row],[As-Built kWh]]*Table2[[#This Row],[Expected Utilisation%]])*(1-0.007)^(Table2[[#This Row],[Age]])</f>
        <v>171395.44569937285</v>
      </c>
      <c r="G23" s="26">
        <v>171487.7679849522</v>
      </c>
      <c r="H23" s="25">
        <f t="shared" ca="1" si="0"/>
        <v>-92.322285579342861</v>
      </c>
      <c r="I23" s="25" cm="1">
        <f t="array" ref="I23">SUMPRODUCT((TRIM(measured[Site Name])=TRIM($A23))*(measured[Date]&gt;=DATE(2025,7,1))*(measured[Date]&lt;=DATE(2026,6,30))*measured[Measured Value (kWh)])</f>
        <v>10169</v>
      </c>
      <c r="J23" s="25">
        <f t="shared" ca="1" si="1"/>
        <v>10261.322285579343</v>
      </c>
      <c r="K23" s="25">
        <f ca="1">(Table2[[#This Row],[Actual Generation (kWh)]]/Table2[[#This Row],[Correct kWh]])*100</f>
        <v>-11014.675315052335</v>
      </c>
      <c r="L23" s="22" t="s">
        <v>881</v>
      </c>
    </row>
    <row r="24" spans="1:12" s="22" customFormat="1" x14ac:dyDescent="0.3">
      <c r="A24" s="22" t="s">
        <v>251</v>
      </c>
      <c r="B24" s="22" t="s">
        <v>876</v>
      </c>
      <c r="C24" s="23" cm="1">
        <f t="array" ref="C24">IFERROR(INDEX('Expected Production'!$B$2:$B$79,MATCH(TRIM($A24),INDEX(TRIM('Expected Production'!$A$2:$A$79),0),0)),"Not found")</f>
        <v>0.9</v>
      </c>
      <c r="D24" s="24" cm="1">
        <f t="array" aca="1" ref="D24" ca="1">_xlfn.IFNA(_xlfn.XLOOKUP(TRIM(A24),TRIM(site_tech_info!$A$2:$A$79),site_tech_info!$W$2:$W$79),"")</f>
        <v>0.2135523613963039</v>
      </c>
      <c r="E24" s="25" cm="1">
        <f t="array" ref="E24">IFERROR(SUM(INDEX('Simulated Production'!$B$2:$M$79,MATCH(TRIM($A24),INDEX(TRIM('Simulated Production'!$A$2:$A$79),0),0),0)),"Not found")</f>
        <v>380893</v>
      </c>
      <c r="F24" s="26">
        <f ca="1">(Table2[[#This Row],[As-Built kWh]]*Table2[[#This Row],[Expected Utilisation%]])*(1-0.007)^(Table2[[#This Row],[Age]])</f>
        <v>342289.83777289436</v>
      </c>
      <c r="G24" s="26">
        <f ca="1">(28051+31649+28250+28466+28992+28904+28877+25885+27341+27824*(28/30))*(1-0.007)^(Table2[[#This Row],[Age]])</f>
        <v>281960.77337841893</v>
      </c>
      <c r="H24" s="25">
        <f t="shared" ca="1" si="0"/>
        <v>60329.064394475427</v>
      </c>
      <c r="I24" s="25" cm="1">
        <f t="array" ref="I24">SUMPRODUCT((TRIM(measured[Site Name])=TRIM($A24))*(measured[Date]&gt;=DATE(2025,7,1))*(measured[Date]&lt;=DATE(2026,6,30))*measured[Measured Value (kWh)])</f>
        <v>53212.2</v>
      </c>
      <c r="J24" s="25">
        <f ca="1">I24-H24</f>
        <v>-7116.8643944754294</v>
      </c>
      <c r="K24" s="25">
        <f ca="1">(Table2[[#This Row],[Actual Generation (kWh)]]/Table2[[#This Row],[Correct kWh]])*100</f>
        <v>88.203257474804886</v>
      </c>
      <c r="L24" s="22" t="s">
        <v>881</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704"/>
  <sheetViews>
    <sheetView zoomScaleNormal="100" workbookViewId="0">
      <selection activeCell="C32" sqref="C32"/>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269</v>
      </c>
      <c r="B1" t="s">
        <v>267</v>
      </c>
      <c r="C1" t="s">
        <v>271</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customHeight="1" x14ac:dyDescent="0.3">
      <c r="A32" t="s">
        <v>31</v>
      </c>
      <c r="B32" s="2">
        <v>46204</v>
      </c>
      <c r="C32">
        <v>2300</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customHeight="1" x14ac:dyDescent="0.3">
      <c r="A68" t="s">
        <v>43</v>
      </c>
      <c r="B68" s="2">
        <v>46204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customHeight="1" x14ac:dyDescent="0.3">
      <c r="A104" t="s">
        <v>49</v>
      </c>
      <c r="B104" s="2">
        <v>46204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customHeight="1" x14ac:dyDescent="0.3">
      <c r="A140" t="s">
        <v>64</v>
      </c>
      <c r="B140" s="2">
        <v>46204</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customHeight="1" x14ac:dyDescent="0.3">
      <c r="A176" t="s">
        <v>55</v>
      </c>
      <c r="B176" s="2">
        <v>46204</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customHeight="1" x14ac:dyDescent="0.3">
      <c r="A212" t="s">
        <v>60</v>
      </c>
      <c r="B212" s="2">
        <v>46204</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customHeight="1" x14ac:dyDescent="0.3">
      <c r="A248" t="s">
        <v>61</v>
      </c>
      <c r="B248" s="2">
        <v>46204</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customHeight="1" x14ac:dyDescent="0.3">
      <c r="A284" t="s">
        <v>66</v>
      </c>
      <c r="B284" s="2">
        <v>46204</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customHeight="1" x14ac:dyDescent="0.3">
      <c r="A320" t="s">
        <v>71</v>
      </c>
      <c r="B320" s="2">
        <v>46204</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customHeight="1" x14ac:dyDescent="0.3">
      <c r="A356" t="s">
        <v>77</v>
      </c>
      <c r="B356" s="2">
        <v>46204</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customHeight="1" x14ac:dyDescent="0.3">
      <c r="A392" t="s">
        <v>80</v>
      </c>
      <c r="B392" s="2">
        <v>46204</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251</v>
      </c>
      <c r="B427" s="2">
        <v>46174</v>
      </c>
      <c r="C427" s="34">
        <v>25295</v>
      </c>
    </row>
    <row r="428" spans="1:3" ht="15" customHeight="1" x14ac:dyDescent="0.3">
      <c r="A428" t="s">
        <v>81</v>
      </c>
      <c r="B428" s="2">
        <v>46204</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customHeight="1" x14ac:dyDescent="0.3">
      <c r="A464" t="s">
        <v>85</v>
      </c>
      <c r="B464" s="2">
        <v>46204</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customHeight="1" x14ac:dyDescent="0.3">
      <c r="A500" t="s">
        <v>90</v>
      </c>
      <c r="B500" s="2">
        <v>46204</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customHeight="1" x14ac:dyDescent="0.3">
      <c r="A536" t="s">
        <v>93</v>
      </c>
      <c r="B536" s="2">
        <v>46204</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customHeight="1" x14ac:dyDescent="0.3">
      <c r="A572" t="s">
        <v>95</v>
      </c>
      <c r="B572" s="2">
        <v>46204</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3" ht="15" hidden="1" customHeight="1" x14ac:dyDescent="0.3">
      <c r="A593" t="s">
        <v>239</v>
      </c>
      <c r="B593" s="2">
        <v>45748</v>
      </c>
    </row>
    <row r="594" spans="1:3" ht="15" hidden="1" customHeight="1" x14ac:dyDescent="0.3">
      <c r="A594" t="s">
        <v>239</v>
      </c>
      <c r="B594" s="2">
        <v>45778</v>
      </c>
    </row>
    <row r="595" spans="1:3" ht="15" hidden="1" customHeight="1" x14ac:dyDescent="0.3">
      <c r="A595" t="s">
        <v>239</v>
      </c>
      <c r="B595" s="2">
        <v>45809</v>
      </c>
    </row>
    <row r="596" spans="1:3" ht="15" hidden="1" customHeight="1" x14ac:dyDescent="0.3">
      <c r="A596" t="s">
        <v>239</v>
      </c>
      <c r="B596" s="2">
        <v>45839</v>
      </c>
    </row>
    <row r="597" spans="1:3" ht="15" hidden="1" customHeight="1" x14ac:dyDescent="0.3">
      <c r="A597" t="s">
        <v>239</v>
      </c>
      <c r="B597" s="2">
        <v>45870</v>
      </c>
    </row>
    <row r="598" spans="1:3" ht="15" hidden="1" customHeight="1" x14ac:dyDescent="0.3">
      <c r="A598" t="s">
        <v>239</v>
      </c>
      <c r="B598" s="2">
        <v>45901</v>
      </c>
    </row>
    <row r="599" spans="1:3" ht="15" hidden="1" customHeight="1" x14ac:dyDescent="0.3">
      <c r="A599" t="s">
        <v>239</v>
      </c>
      <c r="B599" s="2">
        <v>45931</v>
      </c>
    </row>
    <row r="600" spans="1:3" ht="15" hidden="1" customHeight="1" x14ac:dyDescent="0.3">
      <c r="A600" t="s">
        <v>239</v>
      </c>
      <c r="B600" s="2">
        <v>45962</v>
      </c>
    </row>
    <row r="601" spans="1:3" ht="15" hidden="1" customHeight="1" x14ac:dyDescent="0.3">
      <c r="A601" t="s">
        <v>239</v>
      </c>
      <c r="B601" s="2">
        <v>45992</v>
      </c>
    </row>
    <row r="602" spans="1:3" ht="15" hidden="1" customHeight="1" x14ac:dyDescent="0.3">
      <c r="A602" t="s">
        <v>239</v>
      </c>
      <c r="B602" s="2">
        <v>46023</v>
      </c>
      <c r="C602">
        <v>3245</v>
      </c>
    </row>
    <row r="603" spans="1:3" ht="15" hidden="1" customHeight="1" x14ac:dyDescent="0.3">
      <c r="A603" t="s">
        <v>239</v>
      </c>
      <c r="B603" s="2">
        <v>46054</v>
      </c>
      <c r="C603">
        <v>3122</v>
      </c>
    </row>
    <row r="604" spans="1:3" ht="15" hidden="1" customHeight="1" x14ac:dyDescent="0.3">
      <c r="A604" t="s">
        <v>239</v>
      </c>
      <c r="B604" s="2">
        <v>46082</v>
      </c>
      <c r="C604">
        <v>2817</v>
      </c>
    </row>
    <row r="605" spans="1:3" ht="15" hidden="1" customHeight="1" x14ac:dyDescent="0.3">
      <c r="A605" t="s">
        <v>239</v>
      </c>
      <c r="B605" s="2">
        <v>46113</v>
      </c>
      <c r="C605">
        <v>2735.53</v>
      </c>
    </row>
    <row r="606" spans="1:3" ht="15" hidden="1" customHeight="1" x14ac:dyDescent="0.3">
      <c r="A606" t="s">
        <v>239</v>
      </c>
      <c r="B606" s="2">
        <v>46143</v>
      </c>
      <c r="C606" s="12">
        <v>3239.91</v>
      </c>
    </row>
    <row r="607" spans="1:3" ht="15" hidden="1" customHeight="1" x14ac:dyDescent="0.3">
      <c r="A607" t="s">
        <v>95</v>
      </c>
      <c r="B607" s="2">
        <v>46174</v>
      </c>
      <c r="C607">
        <v>11956.63</v>
      </c>
    </row>
    <row r="608" spans="1:3" ht="15" customHeight="1" x14ac:dyDescent="0.3">
      <c r="A608" t="s">
        <v>239</v>
      </c>
      <c r="B608" s="2">
        <v>46204</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customHeight="1" x14ac:dyDescent="0.3">
      <c r="A644" t="s">
        <v>98</v>
      </c>
      <c r="B644" s="2">
        <v>46204</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customHeight="1" x14ac:dyDescent="0.3">
      <c r="A680" t="s">
        <v>102</v>
      </c>
      <c r="B680" s="2">
        <v>46204</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272</v>
      </c>
      <c r="B715" s="2">
        <v>46174</v>
      </c>
      <c r="C715">
        <v>10169</v>
      </c>
    </row>
    <row r="716" spans="1:3" ht="15" hidden="1" customHeight="1" x14ac:dyDescent="0.3">
      <c r="A716" t="s">
        <v>104</v>
      </c>
      <c r="B716" s="2">
        <v>46174</v>
      </c>
      <c r="C716">
        <v>2484</v>
      </c>
    </row>
    <row r="717" spans="1:3" ht="15" customHeight="1" x14ac:dyDescent="0.3">
      <c r="A717" t="s">
        <v>104</v>
      </c>
      <c r="B717" s="2">
        <v>46204</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2" ht="15" customHeight="1" x14ac:dyDescent="0.3">
      <c r="A753" t="s">
        <v>107</v>
      </c>
      <c r="B753" s="2">
        <v>46204</v>
      </c>
    </row>
    <row r="754" spans="1:2" ht="15" hidden="1" customHeight="1" x14ac:dyDescent="0.3">
      <c r="A754" t="s">
        <v>107</v>
      </c>
      <c r="B754" s="2">
        <v>46235</v>
      </c>
    </row>
    <row r="755" spans="1:2" ht="15" hidden="1" customHeight="1" x14ac:dyDescent="0.3">
      <c r="A755" t="s">
        <v>107</v>
      </c>
      <c r="B755" s="2">
        <v>46266</v>
      </c>
    </row>
    <row r="756" spans="1:2" ht="15" hidden="1" customHeight="1" x14ac:dyDescent="0.3">
      <c r="A756" t="s">
        <v>107</v>
      </c>
      <c r="B756" s="2">
        <v>46296</v>
      </c>
    </row>
    <row r="757" spans="1:2" ht="15" hidden="1" customHeight="1" x14ac:dyDescent="0.3">
      <c r="A757" t="s">
        <v>107</v>
      </c>
      <c r="B757" s="2">
        <v>46327</v>
      </c>
    </row>
    <row r="758" spans="1:2" ht="15" hidden="1" customHeight="1" x14ac:dyDescent="0.3">
      <c r="A758" t="s">
        <v>107</v>
      </c>
      <c r="B758" s="2">
        <v>46357</v>
      </c>
    </row>
    <row r="759" spans="1:2" ht="15" hidden="1" customHeight="1" x14ac:dyDescent="0.3">
      <c r="A759" t="s">
        <v>228</v>
      </c>
      <c r="B759" s="2">
        <v>45292</v>
      </c>
    </row>
    <row r="760" spans="1:2" ht="15" hidden="1" customHeight="1" x14ac:dyDescent="0.3">
      <c r="A760" t="s">
        <v>228</v>
      </c>
      <c r="B760" s="2">
        <v>45323</v>
      </c>
    </row>
    <row r="761" spans="1:2" ht="15" hidden="1" customHeight="1" x14ac:dyDescent="0.3">
      <c r="A761" t="s">
        <v>228</v>
      </c>
      <c r="B761" s="2">
        <v>45352</v>
      </c>
    </row>
    <row r="762" spans="1:2" ht="15" hidden="1" customHeight="1" x14ac:dyDescent="0.3">
      <c r="A762" t="s">
        <v>228</v>
      </c>
      <c r="B762" s="2">
        <v>45383</v>
      </c>
    </row>
    <row r="763" spans="1:2" ht="15" hidden="1" customHeight="1" x14ac:dyDescent="0.3">
      <c r="A763" t="s">
        <v>228</v>
      </c>
      <c r="B763" s="2">
        <v>45413</v>
      </c>
    </row>
    <row r="764" spans="1:2" ht="15" hidden="1" customHeight="1" x14ac:dyDescent="0.3">
      <c r="A764" t="s">
        <v>228</v>
      </c>
      <c r="B764" s="2">
        <v>45444</v>
      </c>
    </row>
    <row r="765" spans="1:2" ht="15" hidden="1" customHeight="1" x14ac:dyDescent="0.3">
      <c r="A765" t="s">
        <v>228</v>
      </c>
      <c r="B765" s="2">
        <v>45474</v>
      </c>
    </row>
    <row r="766" spans="1:2" ht="15" hidden="1" customHeight="1" x14ac:dyDescent="0.3">
      <c r="A766" t="s">
        <v>228</v>
      </c>
      <c r="B766" s="2">
        <v>45505</v>
      </c>
    </row>
    <row r="767" spans="1:2" ht="15" hidden="1" customHeight="1" x14ac:dyDescent="0.3">
      <c r="A767" t="s">
        <v>228</v>
      </c>
      <c r="B767" s="2">
        <v>45536</v>
      </c>
    </row>
    <row r="768" spans="1:2"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customHeight="1" x14ac:dyDescent="0.3">
      <c r="A789" t="s">
        <v>228</v>
      </c>
      <c r="B789" s="2">
        <v>46204</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customHeight="1" x14ac:dyDescent="0.3">
      <c r="A825" t="s">
        <v>109</v>
      </c>
      <c r="B825" s="2">
        <v>46204</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customHeight="1" x14ac:dyDescent="0.3">
      <c r="A861" t="s">
        <v>113</v>
      </c>
      <c r="B861" s="2">
        <v>46204</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customHeight="1" x14ac:dyDescent="0.3">
      <c r="A896" t="s">
        <v>114</v>
      </c>
      <c r="B896" s="2">
        <v>46204</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customHeight="1" x14ac:dyDescent="0.3">
      <c r="A932" t="s">
        <v>117</v>
      </c>
      <c r="B932" s="2">
        <v>46204</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customHeight="1" x14ac:dyDescent="0.3">
      <c r="A968" t="s">
        <v>225</v>
      </c>
      <c r="B968" s="2">
        <v>46204</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customHeight="1" x14ac:dyDescent="0.3">
      <c r="A1004" t="s">
        <v>223</v>
      </c>
      <c r="B1004" s="2">
        <v>46204</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customHeight="1" x14ac:dyDescent="0.3">
      <c r="A1040" t="s">
        <v>120</v>
      </c>
      <c r="B1040" s="2">
        <v>46204</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customHeight="1" x14ac:dyDescent="0.3">
      <c r="A1076" t="s">
        <v>236</v>
      </c>
      <c r="B1076" s="2">
        <v>46204</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customHeight="1" x14ac:dyDescent="0.3">
      <c r="A1112" t="s">
        <v>122</v>
      </c>
      <c r="B1112" s="2">
        <v>46204</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customHeight="1" x14ac:dyDescent="0.3">
      <c r="A1148" t="s">
        <v>124</v>
      </c>
      <c r="B1148" s="2">
        <v>46204</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customHeight="1" x14ac:dyDescent="0.3">
      <c r="A1184" t="s">
        <v>127</v>
      </c>
      <c r="B1184" s="2">
        <v>46204</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customHeight="1" x14ac:dyDescent="0.3">
      <c r="A1220" t="s">
        <v>234</v>
      </c>
      <c r="B1220" s="2">
        <v>46204</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customHeight="1" x14ac:dyDescent="0.3">
      <c r="A1256" t="s">
        <v>131</v>
      </c>
      <c r="B1256" s="2">
        <v>46204</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customHeight="1" x14ac:dyDescent="0.3">
      <c r="A1292" t="s">
        <v>134</v>
      </c>
      <c r="B1292" s="2">
        <v>46204</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customHeight="1" x14ac:dyDescent="0.3">
      <c r="A1328" t="s">
        <v>138</v>
      </c>
      <c r="B1328" s="2">
        <v>46204</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customHeight="1" x14ac:dyDescent="0.3">
      <c r="A1364" t="s">
        <v>220</v>
      </c>
      <c r="B1364" s="2">
        <v>46204</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customHeight="1" x14ac:dyDescent="0.3">
      <c r="A1400" t="s">
        <v>222</v>
      </c>
      <c r="B1400" s="2">
        <v>46204</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customHeight="1" x14ac:dyDescent="0.3">
      <c r="A1436" t="s">
        <v>142</v>
      </c>
      <c r="B1436" s="2">
        <v>46204</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customHeight="1" x14ac:dyDescent="0.3">
      <c r="A1472" t="s">
        <v>145</v>
      </c>
      <c r="B1472" s="2">
        <v>46204</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customHeight="1" x14ac:dyDescent="0.3">
      <c r="A1508" t="s">
        <v>152</v>
      </c>
      <c r="B1508" s="2">
        <v>46204</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customHeight="1" x14ac:dyDescent="0.3">
      <c r="A1544" t="s">
        <v>149</v>
      </c>
      <c r="B1544" s="2">
        <v>46204</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customHeight="1" x14ac:dyDescent="0.3">
      <c r="A1580" t="s">
        <v>155</v>
      </c>
      <c r="B1580" s="2">
        <v>46204</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customHeight="1" x14ac:dyDescent="0.3">
      <c r="A1616" t="s">
        <v>157</v>
      </c>
      <c r="B1616" s="2">
        <v>46204</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customHeight="1" x14ac:dyDescent="0.3">
      <c r="A1652" t="s">
        <v>160</v>
      </c>
      <c r="B1652" s="2">
        <v>46204</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customHeight="1" x14ac:dyDescent="0.3">
      <c r="A1688" t="s">
        <v>213</v>
      </c>
      <c r="B1688" s="2">
        <v>46204</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customHeight="1" x14ac:dyDescent="0.3">
      <c r="A1724" t="s">
        <v>216</v>
      </c>
      <c r="B1724" s="2">
        <v>46204</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customHeight="1" x14ac:dyDescent="0.3">
      <c r="A1760" t="s">
        <v>218</v>
      </c>
      <c r="B1760" s="2">
        <v>46204</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customHeight="1" x14ac:dyDescent="0.3">
      <c r="A1796" t="s">
        <v>163</v>
      </c>
      <c r="B1796" s="2">
        <v>46204</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customHeight="1" x14ac:dyDescent="0.3">
      <c r="A1832" t="s">
        <v>166</v>
      </c>
      <c r="B1832" s="2">
        <v>46204</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customHeight="1" x14ac:dyDescent="0.3">
      <c r="A1868" t="s">
        <v>169</v>
      </c>
      <c r="B1868" s="2">
        <v>46204</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customHeight="1" x14ac:dyDescent="0.3">
      <c r="A1904" t="s">
        <v>171</v>
      </c>
      <c r="B1904" s="2">
        <v>46204</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customHeight="1" x14ac:dyDescent="0.3">
      <c r="A1940" t="s">
        <v>172</v>
      </c>
      <c r="B1940" s="2">
        <v>46204</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customHeight="1" x14ac:dyDescent="0.3">
      <c r="A1976" t="s">
        <v>177</v>
      </c>
      <c r="B1976" s="2">
        <v>46204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266</v>
      </c>
      <c r="B1982" s="2">
        <v>45292</v>
      </c>
      <c r="C1982">
        <v>14153</v>
      </c>
    </row>
    <row r="1983" spans="1:3" ht="15" hidden="1" customHeight="1" x14ac:dyDescent="0.3">
      <c r="A1983" t="s">
        <v>266</v>
      </c>
      <c r="B1983" s="2">
        <v>45323</v>
      </c>
      <c r="C1983">
        <v>12255</v>
      </c>
    </row>
    <row r="1984" spans="1:3" ht="15" hidden="1" customHeight="1" x14ac:dyDescent="0.3">
      <c r="A1984" t="s">
        <v>266</v>
      </c>
      <c r="B1984" s="2">
        <v>45352</v>
      </c>
      <c r="C1984">
        <v>14981</v>
      </c>
    </row>
    <row r="1985" spans="1:3" ht="15" hidden="1" customHeight="1" x14ac:dyDescent="0.3">
      <c r="A1985" t="s">
        <v>266</v>
      </c>
      <c r="B1985" s="2">
        <v>45383</v>
      </c>
      <c r="C1985">
        <v>12548</v>
      </c>
    </row>
    <row r="1986" spans="1:3" ht="15" hidden="1" customHeight="1" x14ac:dyDescent="0.3">
      <c r="A1986" t="s">
        <v>266</v>
      </c>
      <c r="B1986" s="2">
        <v>45413</v>
      </c>
      <c r="C1986">
        <v>12499</v>
      </c>
    </row>
    <row r="1987" spans="1:3" ht="15" hidden="1" customHeight="1" x14ac:dyDescent="0.3">
      <c r="A1987" t="s">
        <v>266</v>
      </c>
      <c r="B1987" s="2">
        <v>45444</v>
      </c>
      <c r="C1987">
        <v>10764</v>
      </c>
    </row>
    <row r="1988" spans="1:3" ht="15" hidden="1" customHeight="1" x14ac:dyDescent="0.3">
      <c r="A1988" t="s">
        <v>266</v>
      </c>
      <c r="B1988" s="2">
        <v>45474</v>
      </c>
      <c r="C1988">
        <v>12646</v>
      </c>
    </row>
    <row r="1989" spans="1:3" ht="15" hidden="1" customHeight="1" x14ac:dyDescent="0.3">
      <c r="A1989" t="s">
        <v>266</v>
      </c>
      <c r="B1989" s="2">
        <v>45505</v>
      </c>
      <c r="C1989">
        <v>13284</v>
      </c>
    </row>
    <row r="1990" spans="1:3" ht="15" hidden="1" customHeight="1" x14ac:dyDescent="0.3">
      <c r="A1990" t="s">
        <v>266</v>
      </c>
      <c r="B1990" s="2">
        <v>45536</v>
      </c>
      <c r="C1990">
        <v>12781</v>
      </c>
    </row>
    <row r="1991" spans="1:3" ht="15" hidden="1" customHeight="1" x14ac:dyDescent="0.3">
      <c r="A1991" t="s">
        <v>266</v>
      </c>
      <c r="B1991" s="2">
        <v>45566</v>
      </c>
      <c r="C1991">
        <v>16310</v>
      </c>
    </row>
    <row r="1992" spans="1:3" ht="15" hidden="1" customHeight="1" x14ac:dyDescent="0.3">
      <c r="A1992" t="s">
        <v>266</v>
      </c>
      <c r="B1992" s="2">
        <v>45597</v>
      </c>
      <c r="C1992">
        <v>16857</v>
      </c>
    </row>
    <row r="1993" spans="1:3" ht="15" hidden="1" customHeight="1" x14ac:dyDescent="0.3">
      <c r="A1993" t="s">
        <v>266</v>
      </c>
      <c r="B1993" s="2">
        <v>45627</v>
      </c>
      <c r="C1993">
        <v>17902</v>
      </c>
    </row>
    <row r="1994" spans="1:3" ht="15" hidden="1" customHeight="1" x14ac:dyDescent="0.3">
      <c r="A1994" t="s">
        <v>266</v>
      </c>
      <c r="B1994" s="2">
        <v>45658</v>
      </c>
      <c r="C1994">
        <v>16357</v>
      </c>
    </row>
    <row r="1995" spans="1:3" ht="15" hidden="1" customHeight="1" x14ac:dyDescent="0.3">
      <c r="A1995" t="s">
        <v>266</v>
      </c>
      <c r="B1995" s="2">
        <v>45689</v>
      </c>
      <c r="C1995">
        <v>13076</v>
      </c>
    </row>
    <row r="1996" spans="1:3" ht="15" hidden="1" customHeight="1" x14ac:dyDescent="0.3">
      <c r="A1996" t="s">
        <v>266</v>
      </c>
      <c r="B1996" s="2">
        <v>45717</v>
      </c>
      <c r="C1996">
        <v>13410</v>
      </c>
    </row>
    <row r="1997" spans="1:3" ht="15" hidden="1" customHeight="1" x14ac:dyDescent="0.3">
      <c r="A1997" t="s">
        <v>266</v>
      </c>
      <c r="B1997" s="2">
        <v>45748</v>
      </c>
      <c r="C1997">
        <v>11361</v>
      </c>
    </row>
    <row r="1998" spans="1:3" ht="15" hidden="1" customHeight="1" x14ac:dyDescent="0.3">
      <c r="A1998" t="s">
        <v>266</v>
      </c>
      <c r="B1998" s="2">
        <v>45778</v>
      </c>
      <c r="C1998">
        <v>12073</v>
      </c>
    </row>
    <row r="1999" spans="1:3" ht="15" hidden="1" customHeight="1" x14ac:dyDescent="0.3">
      <c r="A1999" t="s">
        <v>266</v>
      </c>
      <c r="B1999" s="2">
        <v>45809</v>
      </c>
      <c r="C1999">
        <v>10687.39</v>
      </c>
    </row>
    <row r="2000" spans="1:3" ht="15" hidden="1" customHeight="1" x14ac:dyDescent="0.3">
      <c r="A2000" t="s">
        <v>266</v>
      </c>
      <c r="B2000" s="2">
        <v>45839</v>
      </c>
      <c r="C2000">
        <v>10449</v>
      </c>
    </row>
    <row r="2001" spans="1:3" ht="15" hidden="1" customHeight="1" x14ac:dyDescent="0.3">
      <c r="A2001" t="s">
        <v>266</v>
      </c>
      <c r="B2001" s="2">
        <v>45870</v>
      </c>
      <c r="C2001">
        <v>10325</v>
      </c>
    </row>
    <row r="2002" spans="1:3" ht="15" hidden="1" customHeight="1" x14ac:dyDescent="0.3">
      <c r="A2002" t="s">
        <v>266</v>
      </c>
      <c r="B2002" s="2">
        <v>45901</v>
      </c>
      <c r="C2002">
        <v>9595</v>
      </c>
    </row>
    <row r="2003" spans="1:3" ht="15" hidden="1" customHeight="1" x14ac:dyDescent="0.3">
      <c r="A2003" t="s">
        <v>266</v>
      </c>
      <c r="B2003" s="2">
        <v>45931</v>
      </c>
      <c r="C2003">
        <v>11068</v>
      </c>
    </row>
    <row r="2004" spans="1:3" ht="15" hidden="1" customHeight="1" x14ac:dyDescent="0.3">
      <c r="A2004" t="s">
        <v>266</v>
      </c>
      <c r="B2004" s="2">
        <v>45962</v>
      </c>
      <c r="C2004">
        <v>10671</v>
      </c>
    </row>
    <row r="2005" spans="1:3" ht="15" hidden="1" customHeight="1" x14ac:dyDescent="0.3">
      <c r="A2005" t="s">
        <v>266</v>
      </c>
      <c r="B2005" s="2">
        <v>45992</v>
      </c>
      <c r="C2005">
        <v>1812</v>
      </c>
    </row>
    <row r="2006" spans="1:3" ht="15" hidden="1" customHeight="1" x14ac:dyDescent="0.3">
      <c r="A2006" t="s">
        <v>266</v>
      </c>
      <c r="B2006" s="2">
        <v>46023</v>
      </c>
      <c r="C2006">
        <v>306</v>
      </c>
    </row>
    <row r="2007" spans="1:3" ht="15" hidden="1" customHeight="1" x14ac:dyDescent="0.3">
      <c r="A2007" t="s">
        <v>266</v>
      </c>
      <c r="B2007" s="2">
        <v>46054</v>
      </c>
      <c r="C2007">
        <v>522.44464000000005</v>
      </c>
    </row>
    <row r="2008" spans="1:3" ht="15" hidden="1" customHeight="1" x14ac:dyDescent="0.3">
      <c r="A2008" t="s">
        <v>266</v>
      </c>
      <c r="B2008" s="2">
        <v>46082</v>
      </c>
      <c r="C2008">
        <v>372</v>
      </c>
    </row>
    <row r="2009" spans="1:3" ht="15" hidden="1" customHeight="1" x14ac:dyDescent="0.3">
      <c r="A2009" t="s">
        <v>266</v>
      </c>
      <c r="B2009" s="2">
        <v>46113</v>
      </c>
      <c r="C2009">
        <v>44.97</v>
      </c>
    </row>
    <row r="2010" spans="1:3" ht="15" hidden="1" customHeight="1" x14ac:dyDescent="0.3">
      <c r="A2010" t="s">
        <v>266</v>
      </c>
      <c r="B2010" s="2">
        <v>46143</v>
      </c>
      <c r="C2010" s="12">
        <v>0</v>
      </c>
    </row>
    <row r="2011" spans="1:3" ht="15" hidden="1" customHeight="1" x14ac:dyDescent="0.3">
      <c r="A2011" t="s">
        <v>266</v>
      </c>
      <c r="B2011" s="2">
        <v>46174</v>
      </c>
    </row>
    <row r="2012" spans="1:3" ht="15" customHeight="1" x14ac:dyDescent="0.3">
      <c r="A2012" t="s">
        <v>266</v>
      </c>
      <c r="B2012" s="2">
        <v>46204</v>
      </c>
    </row>
    <row r="2013" spans="1:3" ht="15" hidden="1" customHeight="1" x14ac:dyDescent="0.3">
      <c r="A2013" t="s">
        <v>266</v>
      </c>
      <c r="B2013" s="2">
        <v>46235</v>
      </c>
    </row>
    <row r="2014" spans="1:3" ht="15" hidden="1" customHeight="1" x14ac:dyDescent="0.3">
      <c r="A2014" t="s">
        <v>266</v>
      </c>
      <c r="B2014" s="2">
        <v>46266</v>
      </c>
    </row>
    <row r="2015" spans="1:3" ht="15" hidden="1" customHeight="1" x14ac:dyDescent="0.3">
      <c r="A2015" t="s">
        <v>266</v>
      </c>
      <c r="B2015" s="2">
        <v>46296</v>
      </c>
    </row>
    <row r="2016" spans="1:3" ht="15" hidden="1" customHeight="1" x14ac:dyDescent="0.3">
      <c r="A2016" t="s">
        <v>266</v>
      </c>
      <c r="B2016" s="2">
        <v>46327</v>
      </c>
    </row>
    <row r="2017" spans="1:3" ht="15" hidden="1" customHeight="1" x14ac:dyDescent="0.3">
      <c r="A2017" t="s">
        <v>266</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customHeight="1" x14ac:dyDescent="0.3">
      <c r="A2048" t="s">
        <v>180</v>
      </c>
      <c r="B2048" s="2">
        <v>46204</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customHeight="1" x14ac:dyDescent="0.3">
      <c r="A2084" t="s">
        <v>241</v>
      </c>
      <c r="B2084" s="2">
        <v>46204</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customHeight="1" x14ac:dyDescent="0.3">
      <c r="A2120" t="s">
        <v>182</v>
      </c>
      <c r="B2120" s="2">
        <v>46204</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customHeight="1" x14ac:dyDescent="0.3">
      <c r="A2156" t="s">
        <v>184</v>
      </c>
      <c r="B2156" s="2">
        <v>46204</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customHeight="1" x14ac:dyDescent="0.3">
      <c r="A2192" t="s">
        <v>186</v>
      </c>
      <c r="B2192" s="2">
        <v>46204</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customHeight="1" x14ac:dyDescent="0.3">
      <c r="A2228" t="s">
        <v>188</v>
      </c>
      <c r="B2228" s="2">
        <v>46204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customHeight="1" x14ac:dyDescent="0.3">
      <c r="A2264" t="s">
        <v>226</v>
      </c>
      <c r="B2264" s="2">
        <v>46204</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customHeight="1" x14ac:dyDescent="0.3">
      <c r="A2300" t="s">
        <v>208</v>
      </c>
      <c r="B2300" s="2">
        <v>46204</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customHeight="1" x14ac:dyDescent="0.3">
      <c r="A2336" t="s">
        <v>190</v>
      </c>
      <c r="B2336" s="2">
        <v>46204</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customHeight="1" x14ac:dyDescent="0.3">
      <c r="A2372" t="s">
        <v>199</v>
      </c>
      <c r="B2372" s="2">
        <v>46204</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customHeight="1" x14ac:dyDescent="0.3">
      <c r="A2408" t="s">
        <v>192</v>
      </c>
      <c r="B2408" s="2">
        <v>46204</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customHeight="1" x14ac:dyDescent="0.3">
      <c r="A2444" t="s">
        <v>194</v>
      </c>
      <c r="B2444" s="2">
        <v>46204</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customHeight="1" x14ac:dyDescent="0.3">
      <c r="A2480" t="s">
        <v>196</v>
      </c>
      <c r="B2480" s="2">
        <v>46204</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customHeight="1" x14ac:dyDescent="0.3">
      <c r="A2516" t="s">
        <v>201</v>
      </c>
      <c r="B2516" s="2">
        <v>46204</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customHeight="1" x14ac:dyDescent="0.3">
      <c r="A2552" t="s">
        <v>211</v>
      </c>
      <c r="B2552" s="2">
        <v>46204</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customHeight="1" x14ac:dyDescent="0.3">
      <c r="A2588" t="s">
        <v>202</v>
      </c>
      <c r="B2588" s="2">
        <v>46204</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customHeight="1" x14ac:dyDescent="0.3">
      <c r="A2624" t="s">
        <v>206</v>
      </c>
      <c r="B2624" s="2">
        <v>46204</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252</v>
      </c>
      <c r="B2632" s="2">
        <v>46143</v>
      </c>
      <c r="C2632" s="12">
        <v>17630</v>
      </c>
    </row>
    <row r="2633" spans="1:3" hidden="1" x14ac:dyDescent="0.3">
      <c r="A2633" s="12" t="s">
        <v>251</v>
      </c>
      <c r="B2633" s="2">
        <v>46143</v>
      </c>
      <c r="C2633" s="12">
        <v>27917.200000000001</v>
      </c>
    </row>
    <row r="2634" spans="1:3" hidden="1" x14ac:dyDescent="0.3">
      <c r="A2634" t="s">
        <v>272</v>
      </c>
      <c r="B2634" s="2">
        <v>45292</v>
      </c>
    </row>
    <row r="2635" spans="1:3" hidden="1" x14ac:dyDescent="0.3">
      <c r="A2635" t="s">
        <v>272</v>
      </c>
      <c r="B2635" s="2">
        <v>45323</v>
      </c>
    </row>
    <row r="2636" spans="1:3" hidden="1" x14ac:dyDescent="0.3">
      <c r="A2636" t="s">
        <v>272</v>
      </c>
      <c r="B2636" s="2">
        <v>45352</v>
      </c>
    </row>
    <row r="2637" spans="1:3" hidden="1" x14ac:dyDescent="0.3">
      <c r="A2637" t="s">
        <v>272</v>
      </c>
      <c r="B2637" s="2">
        <v>45383</v>
      </c>
    </row>
    <row r="2638" spans="1:3" hidden="1" x14ac:dyDescent="0.3">
      <c r="A2638" t="s">
        <v>272</v>
      </c>
      <c r="B2638" s="2">
        <v>45413</v>
      </c>
    </row>
    <row r="2639" spans="1:3" hidden="1" x14ac:dyDescent="0.3">
      <c r="A2639" t="s">
        <v>272</v>
      </c>
      <c r="B2639" s="2">
        <v>45444</v>
      </c>
    </row>
    <row r="2640" spans="1:3" hidden="1" x14ac:dyDescent="0.3">
      <c r="A2640" t="s">
        <v>272</v>
      </c>
      <c r="B2640" s="2">
        <v>45474</v>
      </c>
    </row>
    <row r="2641" spans="1:2" hidden="1" x14ac:dyDescent="0.3">
      <c r="A2641" t="s">
        <v>272</v>
      </c>
      <c r="B2641" s="2">
        <v>45505</v>
      </c>
    </row>
    <row r="2642" spans="1:2" hidden="1" x14ac:dyDescent="0.3">
      <c r="A2642" t="s">
        <v>272</v>
      </c>
      <c r="B2642" s="2">
        <v>45536</v>
      </c>
    </row>
    <row r="2643" spans="1:2" hidden="1" x14ac:dyDescent="0.3">
      <c r="A2643" t="s">
        <v>272</v>
      </c>
      <c r="B2643" s="2">
        <v>45566</v>
      </c>
    </row>
    <row r="2644" spans="1:2" hidden="1" x14ac:dyDescent="0.3">
      <c r="A2644" t="s">
        <v>272</v>
      </c>
      <c r="B2644" s="2">
        <v>45597</v>
      </c>
    </row>
    <row r="2645" spans="1:2" hidden="1" x14ac:dyDescent="0.3">
      <c r="A2645" t="s">
        <v>272</v>
      </c>
      <c r="B2645" s="2">
        <v>45627</v>
      </c>
    </row>
    <row r="2646" spans="1:2" hidden="1" x14ac:dyDescent="0.3">
      <c r="A2646" t="s">
        <v>272</v>
      </c>
      <c r="B2646" s="2">
        <v>45658</v>
      </c>
    </row>
    <row r="2647" spans="1:2" hidden="1" x14ac:dyDescent="0.3">
      <c r="A2647" t="s">
        <v>272</v>
      </c>
      <c r="B2647" s="2">
        <v>45689</v>
      </c>
    </row>
    <row r="2648" spans="1:2" hidden="1" x14ac:dyDescent="0.3">
      <c r="A2648" t="s">
        <v>272</v>
      </c>
      <c r="B2648" s="2">
        <v>45717</v>
      </c>
    </row>
    <row r="2649" spans="1:2" hidden="1" x14ac:dyDescent="0.3">
      <c r="A2649" t="s">
        <v>272</v>
      </c>
      <c r="B2649" s="2">
        <v>45748</v>
      </c>
    </row>
    <row r="2650" spans="1:2" hidden="1" x14ac:dyDescent="0.3">
      <c r="A2650" t="s">
        <v>272</v>
      </c>
      <c r="B2650" s="2">
        <v>45778</v>
      </c>
    </row>
    <row r="2651" spans="1:2" hidden="1" x14ac:dyDescent="0.3">
      <c r="A2651" t="s">
        <v>272</v>
      </c>
      <c r="B2651" s="2">
        <v>45809</v>
      </c>
    </row>
    <row r="2652" spans="1:2" hidden="1" x14ac:dyDescent="0.3">
      <c r="A2652" t="s">
        <v>272</v>
      </c>
      <c r="B2652" s="2">
        <v>45839</v>
      </c>
    </row>
    <row r="2653" spans="1:2" hidden="1" x14ac:dyDescent="0.3">
      <c r="A2653" t="s">
        <v>272</v>
      </c>
      <c r="B2653" s="2">
        <v>45870</v>
      </c>
    </row>
    <row r="2654" spans="1:2" hidden="1" x14ac:dyDescent="0.3">
      <c r="A2654" t="s">
        <v>272</v>
      </c>
      <c r="B2654" s="2">
        <v>45901</v>
      </c>
    </row>
    <row r="2655" spans="1:2" hidden="1" x14ac:dyDescent="0.3">
      <c r="A2655" t="s">
        <v>272</v>
      </c>
      <c r="B2655" s="2">
        <v>45931</v>
      </c>
    </row>
    <row r="2656" spans="1:2" hidden="1" x14ac:dyDescent="0.3">
      <c r="A2656" t="s">
        <v>272</v>
      </c>
      <c r="B2656" s="2">
        <v>45962</v>
      </c>
    </row>
    <row r="2657" spans="1:3" hidden="1" x14ac:dyDescent="0.3">
      <c r="A2657" t="s">
        <v>272</v>
      </c>
      <c r="B2657" s="2">
        <v>45992</v>
      </c>
    </row>
    <row r="2658" spans="1:3" hidden="1" x14ac:dyDescent="0.3">
      <c r="A2658" t="s">
        <v>272</v>
      </c>
      <c r="B2658" s="2">
        <v>46023</v>
      </c>
    </row>
    <row r="2659" spans="1:3" hidden="1" x14ac:dyDescent="0.3">
      <c r="A2659" t="s">
        <v>272</v>
      </c>
      <c r="B2659" s="2">
        <v>46054</v>
      </c>
    </row>
    <row r="2660" spans="1:3" hidden="1" x14ac:dyDescent="0.3">
      <c r="A2660" t="s">
        <v>272</v>
      </c>
      <c r="B2660" s="2">
        <v>46082</v>
      </c>
    </row>
    <row r="2661" spans="1:3" hidden="1" x14ac:dyDescent="0.3">
      <c r="A2661" t="s">
        <v>272</v>
      </c>
      <c r="B2661" s="2">
        <v>46113</v>
      </c>
    </row>
    <row r="2662" spans="1:3" hidden="1" x14ac:dyDescent="0.3">
      <c r="A2662" t="s">
        <v>272</v>
      </c>
      <c r="B2662" s="2">
        <v>46143</v>
      </c>
    </row>
    <row r="2663" spans="1:3" hidden="1" x14ac:dyDescent="0.3">
      <c r="A2663" t="s">
        <v>194</v>
      </c>
      <c r="B2663" s="2">
        <v>46174</v>
      </c>
      <c r="C2663">
        <v>2444</v>
      </c>
    </row>
    <row r="2664" spans="1:3" x14ac:dyDescent="0.3">
      <c r="A2664" t="s">
        <v>272</v>
      </c>
      <c r="B2664" s="2">
        <v>46204</v>
      </c>
    </row>
    <row r="2665" spans="1:3" hidden="1" x14ac:dyDescent="0.3">
      <c r="A2665" t="s">
        <v>272</v>
      </c>
      <c r="B2665" s="2">
        <v>46235</v>
      </c>
    </row>
    <row r="2666" spans="1:3" hidden="1" x14ac:dyDescent="0.3">
      <c r="A2666" t="s">
        <v>272</v>
      </c>
      <c r="B2666" s="2">
        <v>46266</v>
      </c>
    </row>
    <row r="2667" spans="1:3" hidden="1" x14ac:dyDescent="0.3">
      <c r="A2667" t="s">
        <v>272</v>
      </c>
      <c r="B2667" s="2">
        <v>46296</v>
      </c>
    </row>
    <row r="2668" spans="1:3" hidden="1" x14ac:dyDescent="0.3">
      <c r="A2668" t="s">
        <v>272</v>
      </c>
      <c r="B2668" s="2">
        <v>46327</v>
      </c>
    </row>
    <row r="2669" spans="1:3" hidden="1" x14ac:dyDescent="0.3">
      <c r="A2669" t="s">
        <v>272</v>
      </c>
      <c r="B2669" s="2">
        <v>46357</v>
      </c>
    </row>
    <row r="2670" spans="1:3" hidden="1" x14ac:dyDescent="0.3">
      <c r="A2670" t="s">
        <v>251</v>
      </c>
      <c r="B2670" s="2">
        <v>45292</v>
      </c>
    </row>
    <row r="2671" spans="1:3" hidden="1" x14ac:dyDescent="0.3">
      <c r="A2671" t="s">
        <v>251</v>
      </c>
      <c r="B2671" s="2">
        <v>45323</v>
      </c>
    </row>
    <row r="2672" spans="1:3" hidden="1" x14ac:dyDescent="0.3">
      <c r="A2672" t="s">
        <v>251</v>
      </c>
      <c r="B2672" s="2">
        <v>45352</v>
      </c>
    </row>
    <row r="2673" spans="1:2" hidden="1" x14ac:dyDescent="0.3">
      <c r="A2673" t="s">
        <v>251</v>
      </c>
      <c r="B2673" s="2">
        <v>45383</v>
      </c>
    </row>
    <row r="2674" spans="1:2" hidden="1" x14ac:dyDescent="0.3">
      <c r="A2674" t="s">
        <v>251</v>
      </c>
      <c r="B2674" s="2">
        <v>45413</v>
      </c>
    </row>
    <row r="2675" spans="1:2" hidden="1" x14ac:dyDescent="0.3">
      <c r="A2675" t="s">
        <v>251</v>
      </c>
      <c r="B2675" s="2">
        <v>45444</v>
      </c>
    </row>
    <row r="2676" spans="1:2" hidden="1" x14ac:dyDescent="0.3">
      <c r="A2676" t="s">
        <v>251</v>
      </c>
      <c r="B2676" s="2">
        <v>45474</v>
      </c>
    </row>
    <row r="2677" spans="1:2" hidden="1" x14ac:dyDescent="0.3">
      <c r="A2677" t="s">
        <v>251</v>
      </c>
      <c r="B2677" s="2">
        <v>45505</v>
      </c>
    </row>
    <row r="2678" spans="1:2" hidden="1" x14ac:dyDescent="0.3">
      <c r="A2678" t="s">
        <v>251</v>
      </c>
      <c r="B2678" s="2">
        <v>45536</v>
      </c>
    </row>
    <row r="2679" spans="1:2" hidden="1" x14ac:dyDescent="0.3">
      <c r="A2679" t="s">
        <v>251</v>
      </c>
      <c r="B2679" s="2">
        <v>45566</v>
      </c>
    </row>
    <row r="2680" spans="1:2" hidden="1" x14ac:dyDescent="0.3">
      <c r="A2680" t="s">
        <v>251</v>
      </c>
      <c r="B2680" s="2">
        <v>45597</v>
      </c>
    </row>
    <row r="2681" spans="1:2" hidden="1" x14ac:dyDescent="0.3">
      <c r="A2681" t="s">
        <v>251</v>
      </c>
      <c r="B2681" s="2">
        <v>45627</v>
      </c>
    </row>
    <row r="2682" spans="1:2" hidden="1" x14ac:dyDescent="0.3">
      <c r="A2682" t="s">
        <v>251</v>
      </c>
      <c r="B2682" s="2">
        <v>45658</v>
      </c>
    </row>
    <row r="2683" spans="1:2" hidden="1" x14ac:dyDescent="0.3">
      <c r="A2683" t="s">
        <v>251</v>
      </c>
      <c r="B2683" s="2">
        <v>45689</v>
      </c>
    </row>
    <row r="2684" spans="1:2" hidden="1" x14ac:dyDescent="0.3">
      <c r="A2684" t="s">
        <v>251</v>
      </c>
      <c r="B2684" s="2">
        <v>45717</v>
      </c>
    </row>
    <row r="2685" spans="1:2" hidden="1" x14ac:dyDescent="0.3">
      <c r="A2685" t="s">
        <v>251</v>
      </c>
      <c r="B2685" s="2">
        <v>45748</v>
      </c>
    </row>
    <row r="2686" spans="1:2" hidden="1" x14ac:dyDescent="0.3">
      <c r="A2686" t="s">
        <v>251</v>
      </c>
      <c r="B2686" s="2">
        <v>45778</v>
      </c>
    </row>
    <row r="2687" spans="1:2" hidden="1" x14ac:dyDescent="0.3">
      <c r="A2687" t="s">
        <v>251</v>
      </c>
      <c r="B2687" s="2">
        <v>45809</v>
      </c>
    </row>
    <row r="2688" spans="1:2" hidden="1" x14ac:dyDescent="0.3">
      <c r="A2688" t="s">
        <v>251</v>
      </c>
      <c r="B2688" s="2">
        <v>45839</v>
      </c>
    </row>
    <row r="2689" spans="1:3" hidden="1" x14ac:dyDescent="0.3">
      <c r="A2689" t="s">
        <v>251</v>
      </c>
      <c r="B2689" s="2">
        <v>45870</v>
      </c>
    </row>
    <row r="2690" spans="1:3" hidden="1" x14ac:dyDescent="0.3">
      <c r="A2690" t="s">
        <v>251</v>
      </c>
      <c r="B2690" s="2">
        <v>45901</v>
      </c>
    </row>
    <row r="2691" spans="1:3" hidden="1" x14ac:dyDescent="0.3">
      <c r="A2691" t="s">
        <v>251</v>
      </c>
      <c r="B2691" s="2">
        <v>45931</v>
      </c>
    </row>
    <row r="2692" spans="1:3" hidden="1" x14ac:dyDescent="0.3">
      <c r="A2692" t="s">
        <v>251</v>
      </c>
      <c r="B2692" s="2">
        <v>45962</v>
      </c>
    </row>
    <row r="2693" spans="1:3" hidden="1" x14ac:dyDescent="0.3">
      <c r="A2693" t="s">
        <v>251</v>
      </c>
      <c r="B2693" s="2">
        <v>45992</v>
      </c>
    </row>
    <row r="2694" spans="1:3" hidden="1" x14ac:dyDescent="0.3">
      <c r="A2694" t="s">
        <v>251</v>
      </c>
      <c r="B2694" s="2">
        <v>46023</v>
      </c>
    </row>
    <row r="2695" spans="1:3" hidden="1" x14ac:dyDescent="0.3">
      <c r="A2695" t="s">
        <v>251</v>
      </c>
      <c r="B2695" s="2">
        <v>46054</v>
      </c>
    </row>
    <row r="2696" spans="1:3" hidden="1" x14ac:dyDescent="0.3">
      <c r="A2696" t="s">
        <v>251</v>
      </c>
      <c r="B2696" s="2">
        <v>46082</v>
      </c>
    </row>
    <row r="2697" spans="1:3" hidden="1" x14ac:dyDescent="0.3">
      <c r="A2697" t="s">
        <v>251</v>
      </c>
      <c r="B2697" s="2">
        <v>46113</v>
      </c>
    </row>
    <row r="2698" spans="1:3" hidden="1" x14ac:dyDescent="0.3">
      <c r="A2698" t="s">
        <v>202</v>
      </c>
      <c r="B2698" s="2">
        <v>46174</v>
      </c>
      <c r="C2698">
        <v>11655</v>
      </c>
    </row>
    <row r="2699" spans="1:3" x14ac:dyDescent="0.3">
      <c r="A2699" t="s">
        <v>251</v>
      </c>
      <c r="B2699" s="2">
        <v>46204</v>
      </c>
    </row>
    <row r="2700" spans="1:3" hidden="1" x14ac:dyDescent="0.3">
      <c r="A2700" t="s">
        <v>251</v>
      </c>
      <c r="B2700" s="2">
        <v>46235</v>
      </c>
    </row>
    <row r="2701" spans="1:3" hidden="1" x14ac:dyDescent="0.3">
      <c r="A2701" t="s">
        <v>251</v>
      </c>
      <c r="B2701" s="2">
        <v>46266</v>
      </c>
    </row>
    <row r="2702" spans="1:3" hidden="1" x14ac:dyDescent="0.3">
      <c r="A2702" t="s">
        <v>251</v>
      </c>
      <c r="B2702" s="2">
        <v>46296</v>
      </c>
    </row>
    <row r="2703" spans="1:3" hidden="1" x14ac:dyDescent="0.3">
      <c r="A2703" t="s">
        <v>251</v>
      </c>
      <c r="B2703" s="2">
        <v>46327</v>
      </c>
    </row>
    <row r="2704" spans="1:3" hidden="1" x14ac:dyDescent="0.3">
      <c r="A2704" t="s">
        <v>251</v>
      </c>
      <c r="B2704" s="2">
        <v>46357</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1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268</v>
      </c>
      <c r="C1" t="s">
        <v>254</v>
      </c>
      <c r="D1" t="s">
        <v>255</v>
      </c>
      <c r="E1" t="s">
        <v>256</v>
      </c>
      <c r="F1" t="s">
        <v>257</v>
      </c>
      <c r="G1" t="s">
        <v>258</v>
      </c>
      <c r="H1" t="s">
        <v>259</v>
      </c>
      <c r="I1" t="s">
        <v>260</v>
      </c>
      <c r="J1" t="s">
        <v>261</v>
      </c>
      <c r="K1" t="s">
        <v>262</v>
      </c>
      <c r="L1" t="s">
        <v>263</v>
      </c>
      <c r="M1" t="s">
        <v>264</v>
      </c>
      <c r="N1" t="s">
        <v>265</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266</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249</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252</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251</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zoomScaleNormal="100" workbookViewId="0">
      <selection activeCell="C2648" sqref="C2648:C2659"/>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269</v>
      </c>
      <c r="B1" t="s">
        <v>267</v>
      </c>
      <c r="C1" t="s">
        <v>270</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266</v>
      </c>
      <c r="B2054" s="2">
        <v>45292</v>
      </c>
      <c r="C2054">
        <v>23065.02</v>
      </c>
    </row>
    <row r="2055" spans="1:3" ht="15" hidden="1" customHeight="1" x14ac:dyDescent="0.3">
      <c r="A2055" t="s">
        <v>266</v>
      </c>
      <c r="B2055" s="2">
        <v>45323</v>
      </c>
      <c r="C2055">
        <v>20354.849999999999</v>
      </c>
    </row>
    <row r="2056" spans="1:3" ht="15" hidden="1" customHeight="1" x14ac:dyDescent="0.3">
      <c r="A2056" t="s">
        <v>266</v>
      </c>
      <c r="B2056" s="2">
        <v>45352</v>
      </c>
      <c r="C2056">
        <v>21716.37</v>
      </c>
    </row>
    <row r="2057" spans="1:3" ht="15" hidden="1" customHeight="1" x14ac:dyDescent="0.3">
      <c r="A2057" t="s">
        <v>266</v>
      </c>
      <c r="B2057" s="2">
        <v>45383</v>
      </c>
      <c r="C2057">
        <v>18847.89</v>
      </c>
    </row>
    <row r="2058" spans="1:3" ht="15" hidden="1" customHeight="1" x14ac:dyDescent="0.3">
      <c r="A2058" t="s">
        <v>266</v>
      </c>
      <c r="B2058" s="2">
        <v>45413</v>
      </c>
      <c r="C2058">
        <v>18700.919999999998</v>
      </c>
    </row>
    <row r="2059" spans="1:3" ht="15" hidden="1" customHeight="1" x14ac:dyDescent="0.3">
      <c r="A2059" t="s">
        <v>266</v>
      </c>
      <c r="B2059" s="2">
        <v>45444</v>
      </c>
      <c r="C2059">
        <v>17164.439999999999</v>
      </c>
    </row>
    <row r="2060" spans="1:3" ht="15" hidden="1" customHeight="1" x14ac:dyDescent="0.3">
      <c r="A2060" t="s">
        <v>266</v>
      </c>
      <c r="B2060" s="2">
        <v>45474</v>
      </c>
      <c r="C2060">
        <v>18821.97</v>
      </c>
    </row>
    <row r="2061" spans="1:3" ht="15" hidden="1" customHeight="1" x14ac:dyDescent="0.3">
      <c r="A2061" t="s">
        <v>266</v>
      </c>
      <c r="B2061" s="2">
        <v>45505</v>
      </c>
      <c r="C2061">
        <v>21497.67</v>
      </c>
    </row>
    <row r="2062" spans="1:3" ht="15" hidden="1" customHeight="1" x14ac:dyDescent="0.3">
      <c r="A2062" t="s">
        <v>266</v>
      </c>
      <c r="B2062" s="2">
        <v>45536</v>
      </c>
      <c r="C2062">
        <v>22688.37</v>
      </c>
    </row>
    <row r="2063" spans="1:3" ht="15" hidden="1" customHeight="1" x14ac:dyDescent="0.3">
      <c r="A2063" t="s">
        <v>266</v>
      </c>
      <c r="B2063" s="2">
        <v>45566</v>
      </c>
      <c r="C2063">
        <v>22841.55</v>
      </c>
    </row>
    <row r="2064" spans="1:3" ht="15" hidden="1" customHeight="1" x14ac:dyDescent="0.3">
      <c r="A2064" t="s">
        <v>266</v>
      </c>
      <c r="B2064" s="2">
        <v>45597</v>
      </c>
      <c r="C2064">
        <v>22507.919999999998</v>
      </c>
    </row>
    <row r="2065" spans="1:3" ht="15" hidden="1" customHeight="1" x14ac:dyDescent="0.3">
      <c r="A2065" t="s">
        <v>266</v>
      </c>
      <c r="B2065" s="2">
        <v>45627</v>
      </c>
      <c r="C2065">
        <v>23494.59</v>
      </c>
    </row>
    <row r="2066" spans="1:3" ht="15" hidden="1" customHeight="1" x14ac:dyDescent="0.3">
      <c r="A2066" t="s">
        <v>266</v>
      </c>
      <c r="B2066" s="2">
        <v>45658</v>
      </c>
      <c r="C2066">
        <v>23065.02</v>
      </c>
    </row>
    <row r="2067" spans="1:3" ht="15" hidden="1" customHeight="1" x14ac:dyDescent="0.3">
      <c r="A2067" t="s">
        <v>266</v>
      </c>
      <c r="B2067" s="2">
        <v>45689</v>
      </c>
      <c r="C2067">
        <v>20354.849999999999</v>
      </c>
    </row>
    <row r="2068" spans="1:3" ht="15" hidden="1" customHeight="1" x14ac:dyDescent="0.3">
      <c r="A2068" t="s">
        <v>266</v>
      </c>
      <c r="B2068" s="2">
        <v>45717</v>
      </c>
      <c r="C2068">
        <v>21716.37</v>
      </c>
    </row>
    <row r="2069" spans="1:3" ht="15" hidden="1" customHeight="1" x14ac:dyDescent="0.3">
      <c r="A2069" t="s">
        <v>266</v>
      </c>
      <c r="B2069" s="2">
        <v>45748</v>
      </c>
      <c r="C2069">
        <v>18847.89</v>
      </c>
    </row>
    <row r="2070" spans="1:3" ht="15" hidden="1" customHeight="1" x14ac:dyDescent="0.3">
      <c r="A2070" t="s">
        <v>266</v>
      </c>
      <c r="B2070" s="2">
        <v>45778</v>
      </c>
      <c r="C2070">
        <v>18700.919999999998</v>
      </c>
    </row>
    <row r="2071" spans="1:3" ht="15" hidden="1" customHeight="1" x14ac:dyDescent="0.3">
      <c r="A2071" t="s">
        <v>266</v>
      </c>
      <c r="B2071" s="2">
        <v>45809</v>
      </c>
      <c r="C2071">
        <v>17164.439999999999</v>
      </c>
    </row>
    <row r="2072" spans="1:3" ht="15" hidden="1" customHeight="1" x14ac:dyDescent="0.3">
      <c r="A2072" t="s">
        <v>266</v>
      </c>
      <c r="B2072" s="2">
        <v>45839</v>
      </c>
      <c r="C2072">
        <v>18821.97</v>
      </c>
    </row>
    <row r="2073" spans="1:3" ht="15" hidden="1" customHeight="1" x14ac:dyDescent="0.3">
      <c r="A2073" t="s">
        <v>266</v>
      </c>
      <c r="B2073" s="2">
        <v>45870</v>
      </c>
      <c r="C2073">
        <v>21497.67</v>
      </c>
    </row>
    <row r="2074" spans="1:3" ht="15" hidden="1" customHeight="1" x14ac:dyDescent="0.3">
      <c r="A2074" t="s">
        <v>266</v>
      </c>
      <c r="B2074" s="2">
        <v>45901</v>
      </c>
      <c r="C2074">
        <v>22688.37</v>
      </c>
    </row>
    <row r="2075" spans="1:3" ht="15" hidden="1" customHeight="1" x14ac:dyDescent="0.3">
      <c r="A2075" t="s">
        <v>266</v>
      </c>
      <c r="B2075" s="2">
        <v>45931</v>
      </c>
      <c r="C2075">
        <v>22841.55</v>
      </c>
    </row>
    <row r="2076" spans="1:3" ht="15" hidden="1" customHeight="1" x14ac:dyDescent="0.3">
      <c r="A2076" t="s">
        <v>266</v>
      </c>
      <c r="B2076" s="2">
        <v>45962</v>
      </c>
      <c r="C2076">
        <v>22507.919999999998</v>
      </c>
    </row>
    <row r="2077" spans="1:3" ht="15" hidden="1" customHeight="1" x14ac:dyDescent="0.3">
      <c r="A2077" t="s">
        <v>266</v>
      </c>
      <c r="B2077" s="2">
        <v>45992</v>
      </c>
      <c r="C2077">
        <v>23494.59</v>
      </c>
    </row>
    <row r="2078" spans="1:3" ht="15" hidden="1" customHeight="1" x14ac:dyDescent="0.3">
      <c r="A2078" t="s">
        <v>266</v>
      </c>
      <c r="B2078" s="2">
        <v>46023</v>
      </c>
      <c r="C2078">
        <v>23065.02</v>
      </c>
    </row>
    <row r="2079" spans="1:3" ht="15" hidden="1" customHeight="1" x14ac:dyDescent="0.3">
      <c r="A2079" t="s">
        <v>266</v>
      </c>
      <c r="B2079" s="2">
        <v>46054</v>
      </c>
      <c r="C2079">
        <v>20354.849999999999</v>
      </c>
    </row>
    <row r="2080" spans="1:3" ht="15" hidden="1" customHeight="1" x14ac:dyDescent="0.3">
      <c r="A2080" t="s">
        <v>266</v>
      </c>
      <c r="B2080" s="2">
        <v>46082</v>
      </c>
      <c r="C2080">
        <v>21716.37</v>
      </c>
    </row>
    <row r="2081" spans="1:3" ht="15" hidden="1" customHeight="1" x14ac:dyDescent="0.3">
      <c r="A2081" t="s">
        <v>266</v>
      </c>
      <c r="B2081" s="2">
        <v>46113</v>
      </c>
      <c r="C2081">
        <v>18847.89</v>
      </c>
    </row>
    <row r="2082" spans="1:3" ht="15" hidden="1" customHeight="1" x14ac:dyDescent="0.3">
      <c r="A2082" t="s">
        <v>266</v>
      </c>
      <c r="B2082" s="2">
        <v>46143</v>
      </c>
      <c r="C2082">
        <v>18700.919999999998</v>
      </c>
    </row>
    <row r="2083" spans="1:3" ht="15" hidden="1" customHeight="1" x14ac:dyDescent="0.3">
      <c r="A2083" t="s">
        <v>266</v>
      </c>
      <c r="B2083" s="2">
        <v>46174</v>
      </c>
      <c r="C2083">
        <v>17164.439999999999</v>
      </c>
    </row>
    <row r="2084" spans="1:3" ht="15" hidden="1" customHeight="1" x14ac:dyDescent="0.3">
      <c r="A2084" t="s">
        <v>266</v>
      </c>
      <c r="B2084" s="2">
        <v>46204</v>
      </c>
      <c r="C2084">
        <v>18821.97</v>
      </c>
    </row>
    <row r="2085" spans="1:3" ht="15" hidden="1" customHeight="1" x14ac:dyDescent="0.3">
      <c r="A2085" t="s">
        <v>266</v>
      </c>
      <c r="B2085" s="2">
        <v>46235</v>
      </c>
      <c r="C2085">
        <v>21497.67</v>
      </c>
    </row>
    <row r="2086" spans="1:3" ht="15" hidden="1" customHeight="1" x14ac:dyDescent="0.3">
      <c r="A2086" t="s">
        <v>266</v>
      </c>
      <c r="B2086" s="2">
        <v>46266</v>
      </c>
      <c r="C2086">
        <v>22688.37</v>
      </c>
    </row>
    <row r="2087" spans="1:3" ht="15" hidden="1" customHeight="1" x14ac:dyDescent="0.3">
      <c r="A2087" t="s">
        <v>266</v>
      </c>
      <c r="B2087" s="2">
        <v>46296</v>
      </c>
      <c r="C2087">
        <v>22841.55</v>
      </c>
    </row>
    <row r="2088" spans="1:3" ht="15" hidden="1" customHeight="1" x14ac:dyDescent="0.3">
      <c r="A2088" t="s">
        <v>266</v>
      </c>
      <c r="B2088" s="2">
        <v>46327</v>
      </c>
      <c r="C2088">
        <v>22507.919999999998</v>
      </c>
    </row>
    <row r="2089" spans="1:3" ht="15" hidden="1" customHeight="1" x14ac:dyDescent="0.3">
      <c r="A2089" t="s">
        <v>266</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customHeight="1" x14ac:dyDescent="0.3">
      <c r="A2648" t="s">
        <v>202</v>
      </c>
      <c r="B2648" s="2">
        <v>45839</v>
      </c>
      <c r="C2648">
        <v>18900</v>
      </c>
    </row>
    <row r="2649" spans="1:3" ht="15" customHeight="1" x14ac:dyDescent="0.3">
      <c r="A2649" t="s">
        <v>202</v>
      </c>
      <c r="B2649" s="2">
        <v>45870</v>
      </c>
      <c r="C2649">
        <v>22066.2</v>
      </c>
    </row>
    <row r="2650" spans="1:3" ht="15" customHeight="1" x14ac:dyDescent="0.3">
      <c r="A2650" t="s">
        <v>202</v>
      </c>
      <c r="B2650" s="2">
        <v>45901</v>
      </c>
      <c r="C2650">
        <v>24526.799999999999</v>
      </c>
    </row>
    <row r="2651" spans="1:3" ht="15" customHeight="1" x14ac:dyDescent="0.3">
      <c r="A2651" t="s">
        <v>202</v>
      </c>
      <c r="B2651" s="2">
        <v>45931</v>
      </c>
      <c r="C2651">
        <v>27256.5</v>
      </c>
    </row>
    <row r="2652" spans="1:3" ht="15" customHeight="1" x14ac:dyDescent="0.3">
      <c r="A2652" t="s">
        <v>202</v>
      </c>
      <c r="B2652" s="2">
        <v>45962</v>
      </c>
      <c r="C2652">
        <v>26973.9</v>
      </c>
    </row>
    <row r="2653" spans="1:3" ht="15" customHeight="1" x14ac:dyDescent="0.3">
      <c r="A2653" t="s">
        <v>202</v>
      </c>
      <c r="B2653" s="2">
        <v>45992</v>
      </c>
      <c r="C2653">
        <v>29028.6</v>
      </c>
    </row>
    <row r="2654" spans="1:3" ht="15" customHeight="1" x14ac:dyDescent="0.3">
      <c r="A2654" t="s">
        <v>202</v>
      </c>
      <c r="B2654" s="2">
        <v>46023</v>
      </c>
      <c r="C2654">
        <v>28027.8</v>
      </c>
    </row>
    <row r="2655" spans="1:3" ht="15" customHeight="1" x14ac:dyDescent="0.3">
      <c r="A2655" t="s">
        <v>202</v>
      </c>
      <c r="B2655" s="2">
        <v>46054</v>
      </c>
      <c r="C2655">
        <v>23853.599999999999</v>
      </c>
    </row>
    <row r="2656" spans="1:3" ht="15" customHeight="1" x14ac:dyDescent="0.3">
      <c r="A2656" t="s">
        <v>202</v>
      </c>
      <c r="B2656" s="2">
        <v>46082</v>
      </c>
      <c r="C2656">
        <v>24144.3</v>
      </c>
    </row>
    <row r="2657" spans="1:3" ht="15" customHeight="1" x14ac:dyDescent="0.3">
      <c r="A2657" t="s">
        <v>202</v>
      </c>
      <c r="B2657" s="2">
        <v>46113</v>
      </c>
      <c r="C2657">
        <v>20043</v>
      </c>
    </row>
    <row r="2658" spans="1:3" ht="15" customHeight="1" x14ac:dyDescent="0.3">
      <c r="A2658" t="s">
        <v>202</v>
      </c>
      <c r="B2658" s="2">
        <v>46143</v>
      </c>
      <c r="C2658">
        <v>19021.5</v>
      </c>
    </row>
    <row r="2659" spans="1:3" ht="15" customHeight="1" x14ac:dyDescent="0.3">
      <c r="A2659" t="s">
        <v>202</v>
      </c>
      <c r="B2659" s="2">
        <v>46174</v>
      </c>
      <c r="C2659">
        <v>17054.099999999999</v>
      </c>
    </row>
    <row r="2660" spans="1:3" ht="15" hidden="1"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249</v>
      </c>
      <c r="B2702" s="2">
        <v>45292</v>
      </c>
      <c r="C2702" cm="1">
        <f t="array" ref="C2702">IFERROR(INDEX('Expected Production'!$C$2:$N$200,MATCH(A2702,'Expected Production'!$A$2:$A$200,0),MONTH(B2702)),"")</f>
        <v>17370.900000000001</v>
      </c>
    </row>
    <row r="2703" spans="1:3" hidden="1" x14ac:dyDescent="0.3">
      <c r="A2703" t="s">
        <v>249</v>
      </c>
      <c r="B2703" s="2">
        <v>45323</v>
      </c>
      <c r="C2703" cm="1">
        <f t="array" ref="C2703">IFERROR(INDEX('Expected Production'!$C$2:$N$200,MATCH(A2703,'Expected Production'!$A$2:$A$200,0),MONTH(B2703)),"")</f>
        <v>15077.7</v>
      </c>
    </row>
    <row r="2704" spans="1:3" hidden="1" x14ac:dyDescent="0.3">
      <c r="A2704" t="s">
        <v>249</v>
      </c>
      <c r="B2704" s="2">
        <v>45352</v>
      </c>
      <c r="C2704" cm="1">
        <f t="array" ref="C2704">IFERROR(INDEX('Expected Production'!$C$2:$N$200,MATCH(A2704,'Expected Production'!$A$2:$A$200,0),MONTH(B2704)),"")</f>
        <v>14634</v>
      </c>
    </row>
    <row r="2705" spans="1:3" hidden="1" x14ac:dyDescent="0.3">
      <c r="A2705" t="s">
        <v>249</v>
      </c>
      <c r="B2705" s="2">
        <v>45383</v>
      </c>
      <c r="C2705" cm="1">
        <f t="array" ref="C2705">IFERROR(INDEX('Expected Production'!$C$2:$N$200,MATCH(A2705,'Expected Production'!$A$2:$A$200,0),MONTH(B2705)),"")</f>
        <v>12420</v>
      </c>
    </row>
    <row r="2706" spans="1:3" hidden="1" x14ac:dyDescent="0.3">
      <c r="A2706" t="s">
        <v>249</v>
      </c>
      <c r="B2706" s="2">
        <v>45413</v>
      </c>
      <c r="C2706" cm="1">
        <f t="array" ref="C2706">IFERROR(INDEX('Expected Production'!$C$2:$N$200,MATCH(A2706,'Expected Production'!$A$2:$A$200,0),MONTH(B2706)),"")</f>
        <v>11402.1</v>
      </c>
    </row>
    <row r="2707" spans="1:3" hidden="1" x14ac:dyDescent="0.3">
      <c r="A2707" t="s">
        <v>249</v>
      </c>
      <c r="B2707" s="2">
        <v>45444</v>
      </c>
      <c r="C2707" cm="1">
        <f t="array" ref="C2707">IFERROR(INDEX('Expected Production'!$C$2:$N$200,MATCH(A2707,'Expected Production'!$A$2:$A$200,0),MONTH(B2707)),"")</f>
        <v>9989.1</v>
      </c>
    </row>
    <row r="2708" spans="1:3" hidden="1" x14ac:dyDescent="0.3">
      <c r="A2708" t="s">
        <v>249</v>
      </c>
      <c r="B2708" s="2">
        <v>45474</v>
      </c>
      <c r="C2708" cm="1">
        <f t="array" ref="C2708">IFERROR(INDEX('Expected Production'!$C$2:$N$200,MATCH(A2708,'Expected Production'!$A$2:$A$200,0),MONTH(B2708)),"")</f>
        <v>10986.300000000001</v>
      </c>
    </row>
    <row r="2709" spans="1:3" hidden="1" x14ac:dyDescent="0.3">
      <c r="A2709" t="s">
        <v>249</v>
      </c>
      <c r="B2709" s="2">
        <v>45505</v>
      </c>
      <c r="C2709" cm="1">
        <f t="array" ref="C2709">IFERROR(INDEX('Expected Production'!$C$2:$N$200,MATCH(A2709,'Expected Production'!$A$2:$A$200,0),MONTH(B2709)),"")</f>
        <v>13108.77</v>
      </c>
    </row>
    <row r="2710" spans="1:3" hidden="1" x14ac:dyDescent="0.3">
      <c r="A2710" t="s">
        <v>249</v>
      </c>
      <c r="B2710" s="2">
        <v>45536</v>
      </c>
      <c r="C2710" cm="1">
        <f t="array" ref="C2710">IFERROR(INDEX('Expected Production'!$C$2:$N$200,MATCH(A2710,'Expected Production'!$A$2:$A$200,0),MONTH(B2710)),"")</f>
        <v>14833.17</v>
      </c>
    </row>
    <row r="2711" spans="1:3" hidden="1" x14ac:dyDescent="0.3">
      <c r="A2711" t="s">
        <v>249</v>
      </c>
      <c r="B2711" s="2">
        <v>45566</v>
      </c>
      <c r="C2711" cm="1">
        <f t="array" ref="C2711">IFERROR(INDEX('Expected Production'!$C$2:$N$200,MATCH(A2711,'Expected Production'!$A$2:$A$200,0),MONTH(B2711)),"")</f>
        <v>17053.2</v>
      </c>
    </row>
    <row r="2712" spans="1:3" hidden="1" x14ac:dyDescent="0.3">
      <c r="A2712" t="s">
        <v>249</v>
      </c>
      <c r="B2712" s="2">
        <v>45597</v>
      </c>
      <c r="C2712" cm="1">
        <f t="array" ref="C2712">IFERROR(INDEX('Expected Production'!$C$2:$N$200,MATCH(A2712,'Expected Production'!$A$2:$A$200,0),MONTH(B2712)),"")</f>
        <v>17239.5</v>
      </c>
    </row>
    <row r="2713" spans="1:3" hidden="1" x14ac:dyDescent="0.3">
      <c r="A2713" t="s">
        <v>249</v>
      </c>
      <c r="B2713" s="2">
        <v>45627</v>
      </c>
      <c r="C2713" cm="1">
        <f t="array" ref="C2713">IFERROR(INDEX('Expected Production'!$C$2:$N$200,MATCH(A2713,'Expected Production'!$A$2:$A$200,0),MONTH(B2713)),"")</f>
        <v>17465.400000000001</v>
      </c>
    </row>
    <row r="2714" spans="1:3" hidden="1" x14ac:dyDescent="0.3">
      <c r="A2714" t="s">
        <v>249</v>
      </c>
      <c r="B2714" s="2">
        <v>45658</v>
      </c>
      <c r="C2714" cm="1">
        <f t="array" ref="C2714">IFERROR(INDEX('Expected Production'!$C$2:$N$200,MATCH(A2714,'Expected Production'!$A$2:$A$200,0),MONTH(B2714)),"")</f>
        <v>17370.900000000001</v>
      </c>
    </row>
    <row r="2715" spans="1:3" hidden="1" x14ac:dyDescent="0.3">
      <c r="A2715" t="s">
        <v>249</v>
      </c>
      <c r="B2715" s="2">
        <v>45689</v>
      </c>
      <c r="C2715" cm="1">
        <f t="array" ref="C2715">IFERROR(INDEX('Expected Production'!$C$2:$N$200,MATCH(A2715,'Expected Production'!$A$2:$A$200,0),MONTH(B2715)),"")</f>
        <v>15077.7</v>
      </c>
    </row>
    <row r="2716" spans="1:3" hidden="1" x14ac:dyDescent="0.3">
      <c r="A2716" t="s">
        <v>249</v>
      </c>
      <c r="B2716" s="2">
        <v>45717</v>
      </c>
      <c r="C2716" cm="1">
        <f t="array" ref="C2716">IFERROR(INDEX('Expected Production'!$C$2:$N$200,MATCH(A2716,'Expected Production'!$A$2:$A$200,0),MONTH(B2716)),"")</f>
        <v>14634</v>
      </c>
    </row>
    <row r="2717" spans="1:3" hidden="1" x14ac:dyDescent="0.3">
      <c r="A2717" t="s">
        <v>249</v>
      </c>
      <c r="B2717" s="2">
        <v>45748</v>
      </c>
      <c r="C2717" cm="1">
        <f t="array" ref="C2717">IFERROR(INDEX('Expected Production'!$C$2:$N$200,MATCH(A2717,'Expected Production'!$A$2:$A$200,0),MONTH(B2717)),"")</f>
        <v>12420</v>
      </c>
    </row>
    <row r="2718" spans="1:3" hidden="1" x14ac:dyDescent="0.3">
      <c r="A2718" t="s">
        <v>249</v>
      </c>
      <c r="B2718" s="2">
        <v>45778</v>
      </c>
      <c r="C2718" cm="1">
        <f t="array" ref="C2718">IFERROR(INDEX('Expected Production'!$C$2:$N$200,MATCH(A2718,'Expected Production'!$A$2:$A$200,0),MONTH(B2718)),"")</f>
        <v>11402.1</v>
      </c>
    </row>
    <row r="2719" spans="1:3" hidden="1" x14ac:dyDescent="0.3">
      <c r="A2719" t="s">
        <v>249</v>
      </c>
      <c r="B2719" s="2">
        <v>45809</v>
      </c>
      <c r="C2719" cm="1">
        <f t="array" ref="C2719">IFERROR(INDEX('Expected Production'!$C$2:$N$200,MATCH(A2719,'Expected Production'!$A$2:$A$200,0),MONTH(B2719)),"")</f>
        <v>9989.1</v>
      </c>
    </row>
    <row r="2720" spans="1:3" hidden="1" x14ac:dyDescent="0.3">
      <c r="A2720" t="s">
        <v>249</v>
      </c>
      <c r="B2720" s="2">
        <v>45839</v>
      </c>
      <c r="C2720" cm="1">
        <f t="array" ref="C2720">IFERROR(INDEX('Expected Production'!$C$2:$N$200,MATCH(A2720,'Expected Production'!$A$2:$A$200,0),MONTH(B2720)),"")</f>
        <v>10986.300000000001</v>
      </c>
    </row>
    <row r="2721" spans="1:3" hidden="1" x14ac:dyDescent="0.3">
      <c r="A2721" t="s">
        <v>249</v>
      </c>
      <c r="B2721" s="2">
        <v>45870</v>
      </c>
      <c r="C2721" cm="1">
        <f t="array" ref="C2721">IFERROR(INDEX('Expected Production'!$C$2:$N$200,MATCH(A2721,'Expected Production'!$A$2:$A$200,0),MONTH(B2721)),"")</f>
        <v>13108.77</v>
      </c>
    </row>
    <row r="2722" spans="1:3" hidden="1" x14ac:dyDescent="0.3">
      <c r="A2722" t="s">
        <v>249</v>
      </c>
      <c r="B2722" s="2">
        <v>45901</v>
      </c>
      <c r="C2722" cm="1">
        <f t="array" ref="C2722">IFERROR(INDEX('Expected Production'!$C$2:$N$200,MATCH(A2722,'Expected Production'!$A$2:$A$200,0),MONTH(B2722)),"")</f>
        <v>14833.17</v>
      </c>
    </row>
    <row r="2723" spans="1:3" hidden="1" x14ac:dyDescent="0.3">
      <c r="A2723" t="s">
        <v>249</v>
      </c>
      <c r="B2723" s="2">
        <v>45931</v>
      </c>
      <c r="C2723" cm="1">
        <f t="array" ref="C2723">IFERROR(INDEX('Expected Production'!$C$2:$N$200,MATCH(A2723,'Expected Production'!$A$2:$A$200,0),MONTH(B2723)),"")</f>
        <v>17053.2</v>
      </c>
    </row>
    <row r="2724" spans="1:3" hidden="1" x14ac:dyDescent="0.3">
      <c r="A2724" t="s">
        <v>249</v>
      </c>
      <c r="B2724" s="2">
        <v>45962</v>
      </c>
      <c r="C2724" cm="1">
        <f t="array" ref="C2724">IFERROR(INDEX('Expected Production'!$C$2:$N$200,MATCH(A2724,'Expected Production'!$A$2:$A$200,0),MONTH(B2724)),"")</f>
        <v>17239.5</v>
      </c>
    </row>
    <row r="2725" spans="1:3" hidden="1" x14ac:dyDescent="0.3">
      <c r="A2725" t="s">
        <v>249</v>
      </c>
      <c r="B2725" s="2">
        <v>45992</v>
      </c>
      <c r="C2725" cm="1">
        <f t="array" ref="C2725">IFERROR(INDEX('Expected Production'!$C$2:$N$200,MATCH(A2725,'Expected Production'!$A$2:$A$200,0),MONTH(B2725)),"")</f>
        <v>17465.400000000001</v>
      </c>
    </row>
    <row r="2726" spans="1:3" hidden="1" x14ac:dyDescent="0.3">
      <c r="A2726" t="s">
        <v>249</v>
      </c>
      <c r="B2726" s="2">
        <v>46023</v>
      </c>
      <c r="C2726" cm="1">
        <f t="array" ref="C2726">IFERROR(INDEX('Expected Production'!$C$2:$N$200,MATCH(A2726,'Expected Production'!$A$2:$A$200,0),MONTH(B2726)),"")</f>
        <v>17370.900000000001</v>
      </c>
    </row>
    <row r="2727" spans="1:3" hidden="1" x14ac:dyDescent="0.3">
      <c r="A2727" t="s">
        <v>249</v>
      </c>
      <c r="B2727" s="2">
        <v>46054</v>
      </c>
      <c r="C2727" cm="1">
        <f t="array" ref="C2727">IFERROR(INDEX('Expected Production'!$C$2:$N$200,MATCH(A2727,'Expected Production'!$A$2:$A$200,0),MONTH(B2727)),"")</f>
        <v>15077.7</v>
      </c>
    </row>
    <row r="2728" spans="1:3" hidden="1" x14ac:dyDescent="0.3">
      <c r="A2728" t="s">
        <v>249</v>
      </c>
      <c r="B2728" s="2">
        <v>46082</v>
      </c>
      <c r="C2728" cm="1">
        <f t="array" ref="C2728">IFERROR(INDEX('Expected Production'!$C$2:$N$200,MATCH(A2728,'Expected Production'!$A$2:$A$200,0),MONTH(B2728)),"")</f>
        <v>14634</v>
      </c>
    </row>
    <row r="2729" spans="1:3" hidden="1" x14ac:dyDescent="0.3">
      <c r="A2729" t="s">
        <v>249</v>
      </c>
      <c r="B2729" s="2">
        <v>46113</v>
      </c>
      <c r="C2729" cm="1">
        <f t="array" ref="C2729">IFERROR(INDEX('Expected Production'!$C$2:$N$200,MATCH(A2729,'Expected Production'!$A$2:$A$200,0),MONTH(B2729)),"")</f>
        <v>12420</v>
      </c>
    </row>
    <row r="2730" spans="1:3" hidden="1" x14ac:dyDescent="0.3">
      <c r="A2730" t="s">
        <v>249</v>
      </c>
      <c r="B2730" s="2">
        <v>46143</v>
      </c>
      <c r="C2730" cm="1">
        <f t="array" ref="C2730">IFERROR(INDEX('Expected Production'!$C$2:$N$200,MATCH(A2730,'Expected Production'!$A$2:$A$200,0),MONTH(B2730)),"")</f>
        <v>11402.1</v>
      </c>
    </row>
    <row r="2731" spans="1:3" hidden="1" x14ac:dyDescent="0.3">
      <c r="A2731" t="s">
        <v>249</v>
      </c>
      <c r="B2731" s="2">
        <v>46174</v>
      </c>
      <c r="C2731" cm="1">
        <f t="array" ref="C2731">IFERROR(INDEX('Expected Production'!$C$2:$N$200,MATCH(A2731,'Expected Production'!$A$2:$A$200,0),MONTH(B2731)),"")</f>
        <v>9989.1</v>
      </c>
    </row>
    <row r="2732" spans="1:3" hidden="1" x14ac:dyDescent="0.3">
      <c r="A2732" t="s">
        <v>249</v>
      </c>
      <c r="B2732" s="2">
        <v>46204</v>
      </c>
      <c r="C2732" cm="1">
        <f t="array" ref="C2732">IFERROR(INDEX('Expected Production'!$C$2:$N$200,MATCH(A2732,'Expected Production'!$A$2:$A$200,0),MONTH(B2732)),"")</f>
        <v>10986.300000000001</v>
      </c>
    </row>
    <row r="2733" spans="1:3" hidden="1" x14ac:dyDescent="0.3">
      <c r="A2733" t="s">
        <v>249</v>
      </c>
      <c r="B2733" s="2">
        <v>46235</v>
      </c>
      <c r="C2733" cm="1">
        <f t="array" ref="C2733">IFERROR(INDEX('Expected Production'!$C$2:$N$200,MATCH(A2733,'Expected Production'!$A$2:$A$200,0),MONTH(B2733)),"")</f>
        <v>13108.77</v>
      </c>
    </row>
    <row r="2734" spans="1:3" hidden="1" x14ac:dyDescent="0.3">
      <c r="A2734" t="s">
        <v>249</v>
      </c>
      <c r="B2734" s="2">
        <v>46266</v>
      </c>
      <c r="C2734" cm="1">
        <f t="array" ref="C2734">IFERROR(INDEX('Expected Production'!$C$2:$N$200,MATCH(A2734,'Expected Production'!$A$2:$A$200,0),MONTH(B2734)),"")</f>
        <v>14833.17</v>
      </c>
    </row>
    <row r="2735" spans="1:3" hidden="1" x14ac:dyDescent="0.3">
      <c r="A2735" t="s">
        <v>249</v>
      </c>
      <c r="B2735" s="2">
        <v>46296</v>
      </c>
      <c r="C2735" cm="1">
        <f t="array" ref="C2735">IFERROR(INDEX('Expected Production'!$C$2:$N$200,MATCH(A2735,'Expected Production'!$A$2:$A$200,0),MONTH(B2735)),"")</f>
        <v>17053.2</v>
      </c>
    </row>
    <row r="2736" spans="1:3" hidden="1" x14ac:dyDescent="0.3">
      <c r="A2736" t="s">
        <v>249</v>
      </c>
      <c r="B2736" s="2">
        <v>46327</v>
      </c>
      <c r="C2736" cm="1">
        <f t="array" ref="C2736">IFERROR(INDEX('Expected Production'!$C$2:$N$200,MATCH(A2736,'Expected Production'!$A$2:$A$200,0),MONTH(B2736)),"")</f>
        <v>17239.5</v>
      </c>
    </row>
    <row r="2737" spans="1:3" hidden="1" x14ac:dyDescent="0.3">
      <c r="A2737" t="s">
        <v>249</v>
      </c>
      <c r="B2737" s="2">
        <v>46357</v>
      </c>
      <c r="C2737" cm="1">
        <f t="array" ref="C2737">IFERROR(INDEX('Expected Production'!$C$2:$N$200,MATCH(A2737,'Expected Production'!$A$2:$A$200,0),MONTH(B2737)),"")</f>
        <v>17465.400000000001</v>
      </c>
    </row>
    <row r="2738" spans="1:3" hidden="1" x14ac:dyDescent="0.3">
      <c r="A2738" t="s">
        <v>252</v>
      </c>
      <c r="B2738" s="2">
        <v>45292</v>
      </c>
      <c r="C2738" cm="1">
        <f t="array" ref="C2738">IFERROR(INDEX('Expected Production'!$C$2:$N$200,MATCH(A2738,'Expected Production'!$A$2:$A$200,0),MONTH(B2738)),"")</f>
        <v>26451</v>
      </c>
    </row>
    <row r="2739" spans="1:3" hidden="1" x14ac:dyDescent="0.3">
      <c r="A2739" t="s">
        <v>252</v>
      </c>
      <c r="B2739" s="2">
        <v>45323</v>
      </c>
      <c r="C2739" cm="1">
        <f t="array" ref="C2739">IFERROR(INDEX('Expected Production'!$C$2:$N$200,MATCH(A2739,'Expected Production'!$A$2:$A$200,0),MONTH(B2739)),"")</f>
        <v>23215.5</v>
      </c>
    </row>
    <row r="2740" spans="1:3" hidden="1" x14ac:dyDescent="0.3">
      <c r="A2740" t="s">
        <v>252</v>
      </c>
      <c r="B2740" s="2">
        <v>45352</v>
      </c>
      <c r="C2740" cm="1">
        <f t="array" ref="C2740">IFERROR(INDEX('Expected Production'!$C$2:$N$200,MATCH(A2740,'Expected Production'!$A$2:$A$200,0),MONTH(B2740)),"")</f>
        <v>23034.600000000002</v>
      </c>
    </row>
    <row r="2741" spans="1:3" hidden="1" x14ac:dyDescent="0.3">
      <c r="A2741" t="s">
        <v>252</v>
      </c>
      <c r="B2741" s="2">
        <v>45383</v>
      </c>
      <c r="C2741" cm="1">
        <f t="array" ref="C2741">IFERROR(INDEX('Expected Production'!$C$2:$N$200,MATCH(A2741,'Expected Production'!$A$2:$A$200,0),MONTH(B2741)),"")</f>
        <v>19930.5</v>
      </c>
    </row>
    <row r="2742" spans="1:3" hidden="1" x14ac:dyDescent="0.3">
      <c r="A2742" t="s">
        <v>252</v>
      </c>
      <c r="B2742" s="2">
        <v>45413</v>
      </c>
      <c r="C2742" cm="1">
        <f t="array" ref="C2742">IFERROR(INDEX('Expected Production'!$C$2:$N$200,MATCH(A2742,'Expected Production'!$A$2:$A$200,0),MONTH(B2742)),"")</f>
        <v>18754.2</v>
      </c>
    </row>
    <row r="2743" spans="1:3" hidden="1" x14ac:dyDescent="0.3">
      <c r="A2743" t="s">
        <v>252</v>
      </c>
      <c r="B2743" s="2">
        <v>45444</v>
      </c>
      <c r="C2743" cm="1">
        <f t="array" ref="C2743">IFERROR(INDEX('Expected Production'!$C$2:$N$200,MATCH(A2743,'Expected Production'!$A$2:$A$200,0),MONTH(B2743)),"")</f>
        <v>16767.900000000001</v>
      </c>
    </row>
    <row r="2744" spans="1:3" hidden="1" x14ac:dyDescent="0.3">
      <c r="A2744" t="s">
        <v>252</v>
      </c>
      <c r="B2744" s="2">
        <v>45474</v>
      </c>
      <c r="C2744" cm="1">
        <f t="array" ref="C2744">IFERROR(INDEX('Expected Production'!$C$2:$N$200,MATCH(A2744,'Expected Production'!$A$2:$A$200,0),MONTH(B2744)),"")</f>
        <v>18261</v>
      </c>
    </row>
    <row r="2745" spans="1:3" hidden="1" x14ac:dyDescent="0.3">
      <c r="A2745" t="s">
        <v>252</v>
      </c>
      <c r="B2745" s="2">
        <v>45505</v>
      </c>
      <c r="C2745" cm="1">
        <f t="array" ref="C2745">IFERROR(INDEX('Expected Production'!$C$2:$N$200,MATCH(A2745,'Expected Production'!$A$2:$A$200,0),MONTH(B2745)),"")</f>
        <v>21311.100000000002</v>
      </c>
    </row>
    <row r="2746" spans="1:3" hidden="1" x14ac:dyDescent="0.3">
      <c r="A2746" t="s">
        <v>252</v>
      </c>
      <c r="B2746" s="2">
        <v>45536</v>
      </c>
      <c r="C2746" cm="1">
        <f t="array" ref="C2746">IFERROR(INDEX('Expected Production'!$C$2:$N$200,MATCH(A2746,'Expected Production'!$A$2:$A$200,0),MONTH(B2746)),"")</f>
        <v>23659.200000000001</v>
      </c>
    </row>
    <row r="2747" spans="1:3" hidden="1" x14ac:dyDescent="0.3">
      <c r="A2747" t="s">
        <v>252</v>
      </c>
      <c r="B2747" s="2">
        <v>45566</v>
      </c>
      <c r="C2747" cm="1">
        <f t="array" ref="C2747">IFERROR(INDEX('Expected Production'!$C$2:$N$200,MATCH(A2747,'Expected Production'!$A$2:$A$200,0),MONTH(B2747)),"")</f>
        <v>26865.9</v>
      </c>
    </row>
    <row r="2748" spans="1:3" hidden="1" x14ac:dyDescent="0.3">
      <c r="A2748" t="s">
        <v>252</v>
      </c>
      <c r="B2748" s="2">
        <v>45597</v>
      </c>
      <c r="C2748" cm="1">
        <f t="array" ref="C2748">IFERROR(INDEX('Expected Production'!$C$2:$N$200,MATCH(A2748,'Expected Production'!$A$2:$A$200,0),MONTH(B2748)),"")</f>
        <v>27153.9</v>
      </c>
    </row>
    <row r="2749" spans="1:3" hidden="1" x14ac:dyDescent="0.3">
      <c r="A2749" t="s">
        <v>252</v>
      </c>
      <c r="B2749" s="2">
        <v>45627</v>
      </c>
      <c r="C2749" cm="1">
        <f t="array" ref="C2749">IFERROR(INDEX('Expected Production'!$C$2:$N$200,MATCH(A2749,'Expected Production'!$A$2:$A$200,0),MONTH(B2749)),"")</f>
        <v>27402.3</v>
      </c>
    </row>
    <row r="2750" spans="1:3" hidden="1" x14ac:dyDescent="0.3">
      <c r="A2750" t="s">
        <v>252</v>
      </c>
      <c r="B2750" s="2">
        <v>45658</v>
      </c>
      <c r="C2750" cm="1">
        <f t="array" ref="C2750">IFERROR(INDEX('Expected Production'!$C$2:$N$200,MATCH(A2750,'Expected Production'!$A$2:$A$200,0),MONTH(B2750)),"")</f>
        <v>26451</v>
      </c>
    </row>
    <row r="2751" spans="1:3" hidden="1" x14ac:dyDescent="0.3">
      <c r="A2751" t="s">
        <v>252</v>
      </c>
      <c r="B2751" s="2">
        <v>45689</v>
      </c>
      <c r="C2751" cm="1">
        <f t="array" ref="C2751">IFERROR(INDEX('Expected Production'!$C$2:$N$200,MATCH(A2751,'Expected Production'!$A$2:$A$200,0),MONTH(B2751)),"")</f>
        <v>23215.5</v>
      </c>
    </row>
    <row r="2752" spans="1:3" hidden="1" x14ac:dyDescent="0.3">
      <c r="A2752" t="s">
        <v>252</v>
      </c>
      <c r="B2752" s="2">
        <v>45717</v>
      </c>
      <c r="C2752" cm="1">
        <f t="array" ref="C2752">IFERROR(INDEX('Expected Production'!$C$2:$N$200,MATCH(A2752,'Expected Production'!$A$2:$A$200,0),MONTH(B2752)),"")</f>
        <v>23034.600000000002</v>
      </c>
    </row>
    <row r="2753" spans="1:3" hidden="1" x14ac:dyDescent="0.3">
      <c r="A2753" t="s">
        <v>252</v>
      </c>
      <c r="B2753" s="2">
        <v>45748</v>
      </c>
      <c r="C2753" cm="1">
        <f t="array" ref="C2753">IFERROR(INDEX('Expected Production'!$C$2:$N$200,MATCH(A2753,'Expected Production'!$A$2:$A$200,0),MONTH(B2753)),"")</f>
        <v>19930.5</v>
      </c>
    </row>
    <row r="2754" spans="1:3" hidden="1" x14ac:dyDescent="0.3">
      <c r="A2754" t="s">
        <v>252</v>
      </c>
      <c r="B2754" s="2">
        <v>45778</v>
      </c>
      <c r="C2754" cm="1">
        <f t="array" ref="C2754">IFERROR(INDEX('Expected Production'!$C$2:$N$200,MATCH(A2754,'Expected Production'!$A$2:$A$200,0),MONTH(B2754)),"")</f>
        <v>18754.2</v>
      </c>
    </row>
    <row r="2755" spans="1:3" hidden="1" x14ac:dyDescent="0.3">
      <c r="A2755" t="s">
        <v>252</v>
      </c>
      <c r="B2755" s="2">
        <v>45809</v>
      </c>
      <c r="C2755" cm="1">
        <f t="array" ref="C2755">IFERROR(INDEX('Expected Production'!$C$2:$N$200,MATCH(A2755,'Expected Production'!$A$2:$A$200,0),MONTH(B2755)),"")</f>
        <v>16767.900000000001</v>
      </c>
    </row>
    <row r="2756" spans="1:3" hidden="1" x14ac:dyDescent="0.3">
      <c r="A2756" t="s">
        <v>252</v>
      </c>
      <c r="B2756" s="2">
        <v>45839</v>
      </c>
      <c r="C2756" cm="1">
        <f t="array" ref="C2756">IFERROR(INDEX('Expected Production'!$C$2:$N$200,MATCH(A2756,'Expected Production'!$A$2:$A$200,0),MONTH(B2756)),"")</f>
        <v>18261</v>
      </c>
    </row>
    <row r="2757" spans="1:3" hidden="1" x14ac:dyDescent="0.3">
      <c r="A2757" t="s">
        <v>252</v>
      </c>
      <c r="B2757" s="2">
        <v>45870</v>
      </c>
      <c r="C2757" cm="1">
        <f t="array" ref="C2757">IFERROR(INDEX('Expected Production'!$C$2:$N$200,MATCH(A2757,'Expected Production'!$A$2:$A$200,0),MONTH(B2757)),"")</f>
        <v>21311.100000000002</v>
      </c>
    </row>
    <row r="2758" spans="1:3" hidden="1" x14ac:dyDescent="0.3">
      <c r="A2758" t="s">
        <v>252</v>
      </c>
      <c r="B2758" s="2">
        <v>45901</v>
      </c>
      <c r="C2758" cm="1">
        <f t="array" ref="C2758">IFERROR(INDEX('Expected Production'!$C$2:$N$200,MATCH(A2758,'Expected Production'!$A$2:$A$200,0),MONTH(B2758)),"")</f>
        <v>23659.200000000001</v>
      </c>
    </row>
    <row r="2759" spans="1:3" hidden="1" x14ac:dyDescent="0.3">
      <c r="A2759" t="s">
        <v>252</v>
      </c>
      <c r="B2759" s="2">
        <v>45931</v>
      </c>
      <c r="C2759" cm="1">
        <f t="array" ref="C2759">IFERROR(INDEX('Expected Production'!$C$2:$N$200,MATCH(A2759,'Expected Production'!$A$2:$A$200,0),MONTH(B2759)),"")</f>
        <v>26865.9</v>
      </c>
    </row>
    <row r="2760" spans="1:3" hidden="1" x14ac:dyDescent="0.3">
      <c r="A2760" t="s">
        <v>252</v>
      </c>
      <c r="B2760" s="2">
        <v>45962</v>
      </c>
      <c r="C2760" cm="1">
        <f t="array" ref="C2760">IFERROR(INDEX('Expected Production'!$C$2:$N$200,MATCH(A2760,'Expected Production'!$A$2:$A$200,0),MONTH(B2760)),"")</f>
        <v>27153.9</v>
      </c>
    </row>
    <row r="2761" spans="1:3" hidden="1" x14ac:dyDescent="0.3">
      <c r="A2761" t="s">
        <v>252</v>
      </c>
      <c r="B2761" s="2">
        <v>45992</v>
      </c>
      <c r="C2761" cm="1">
        <f t="array" ref="C2761">IFERROR(INDEX('Expected Production'!$C$2:$N$200,MATCH(A2761,'Expected Production'!$A$2:$A$200,0),MONTH(B2761)),"")</f>
        <v>27402.3</v>
      </c>
    </row>
    <row r="2762" spans="1:3" hidden="1" x14ac:dyDescent="0.3">
      <c r="A2762" t="s">
        <v>252</v>
      </c>
      <c r="B2762" s="2">
        <v>46023</v>
      </c>
      <c r="C2762" cm="1">
        <f t="array" ref="C2762">IFERROR(INDEX('Expected Production'!$C$2:$N$200,MATCH(A2762,'Expected Production'!$A$2:$A$200,0),MONTH(B2762)),"")</f>
        <v>26451</v>
      </c>
    </row>
    <row r="2763" spans="1:3" hidden="1" x14ac:dyDescent="0.3">
      <c r="A2763" t="s">
        <v>252</v>
      </c>
      <c r="B2763" s="2">
        <v>46054</v>
      </c>
      <c r="C2763" cm="1">
        <f t="array" ref="C2763">IFERROR(INDEX('Expected Production'!$C$2:$N$200,MATCH(A2763,'Expected Production'!$A$2:$A$200,0),MONTH(B2763)),"")</f>
        <v>23215.5</v>
      </c>
    </row>
    <row r="2764" spans="1:3" hidden="1" x14ac:dyDescent="0.3">
      <c r="A2764" t="s">
        <v>252</v>
      </c>
      <c r="B2764" s="2">
        <v>46082</v>
      </c>
      <c r="C2764" cm="1">
        <f t="array" ref="C2764">IFERROR(INDEX('Expected Production'!$C$2:$N$200,MATCH(A2764,'Expected Production'!$A$2:$A$200,0),MONTH(B2764)),"")</f>
        <v>23034.600000000002</v>
      </c>
    </row>
    <row r="2765" spans="1:3" hidden="1" x14ac:dyDescent="0.3">
      <c r="A2765" t="s">
        <v>252</v>
      </c>
      <c r="B2765" s="2">
        <v>46113</v>
      </c>
      <c r="C2765" cm="1">
        <f t="array" ref="C2765">IFERROR(INDEX('Expected Production'!$C$2:$N$200,MATCH(A2765,'Expected Production'!$A$2:$A$200,0),MONTH(B2765)),"")</f>
        <v>19930.5</v>
      </c>
    </row>
    <row r="2766" spans="1:3" hidden="1" x14ac:dyDescent="0.3">
      <c r="A2766" t="s">
        <v>252</v>
      </c>
      <c r="B2766" s="2">
        <v>46143</v>
      </c>
      <c r="C2766" cm="1">
        <f t="array" ref="C2766">IFERROR(INDEX('Expected Production'!$C$2:$N$200,MATCH(A2766,'Expected Production'!$A$2:$A$200,0),MONTH(B2766)),"")</f>
        <v>18754.2</v>
      </c>
    </row>
    <row r="2767" spans="1:3" hidden="1" x14ac:dyDescent="0.3">
      <c r="A2767" t="s">
        <v>252</v>
      </c>
      <c r="B2767" s="2">
        <v>46174</v>
      </c>
      <c r="C2767" cm="1">
        <f t="array" ref="C2767">IFERROR(INDEX('Expected Production'!$C$2:$N$200,MATCH(A2767,'Expected Production'!$A$2:$A$200,0),MONTH(B2767)),"")</f>
        <v>16767.900000000001</v>
      </c>
    </row>
    <row r="2768" spans="1:3" hidden="1" x14ac:dyDescent="0.3">
      <c r="A2768" t="s">
        <v>252</v>
      </c>
      <c r="B2768" s="2">
        <v>46204</v>
      </c>
      <c r="C2768" cm="1">
        <f t="array" ref="C2768">IFERROR(INDEX('Expected Production'!$C$2:$N$200,MATCH(A2768,'Expected Production'!$A$2:$A$200,0),MONTH(B2768)),"")</f>
        <v>18261</v>
      </c>
    </row>
    <row r="2769" spans="1:3" hidden="1" x14ac:dyDescent="0.3">
      <c r="A2769" t="s">
        <v>252</v>
      </c>
      <c r="B2769" s="2">
        <v>46235</v>
      </c>
      <c r="C2769" cm="1">
        <f t="array" ref="C2769">IFERROR(INDEX('Expected Production'!$C$2:$N$200,MATCH(A2769,'Expected Production'!$A$2:$A$200,0),MONTH(B2769)),"")</f>
        <v>21311.100000000002</v>
      </c>
    </row>
    <row r="2770" spans="1:3" hidden="1" x14ac:dyDescent="0.3">
      <c r="A2770" t="s">
        <v>252</v>
      </c>
      <c r="B2770" s="2">
        <v>46266</v>
      </c>
      <c r="C2770" cm="1">
        <f t="array" ref="C2770">IFERROR(INDEX('Expected Production'!$C$2:$N$200,MATCH(A2770,'Expected Production'!$A$2:$A$200,0),MONTH(B2770)),"")</f>
        <v>23659.200000000001</v>
      </c>
    </row>
    <row r="2771" spans="1:3" hidden="1" x14ac:dyDescent="0.3">
      <c r="A2771" t="s">
        <v>252</v>
      </c>
      <c r="B2771" s="2">
        <v>46296</v>
      </c>
      <c r="C2771" cm="1">
        <f t="array" ref="C2771">IFERROR(INDEX('Expected Production'!$C$2:$N$200,MATCH(A2771,'Expected Production'!$A$2:$A$200,0),MONTH(B2771)),"")</f>
        <v>26865.9</v>
      </c>
    </row>
    <row r="2772" spans="1:3" hidden="1" x14ac:dyDescent="0.3">
      <c r="A2772" t="s">
        <v>252</v>
      </c>
      <c r="B2772" s="2">
        <v>46327</v>
      </c>
      <c r="C2772" cm="1">
        <f t="array" ref="C2772">IFERROR(INDEX('Expected Production'!$C$2:$N$200,MATCH(A2772,'Expected Production'!$A$2:$A$200,0),MONTH(B2772)),"")</f>
        <v>27153.9</v>
      </c>
    </row>
    <row r="2773" spans="1:3" hidden="1" x14ac:dyDescent="0.3">
      <c r="A2773" t="s">
        <v>252</v>
      </c>
      <c r="B2773" s="2">
        <v>46357</v>
      </c>
      <c r="C2773" cm="1">
        <f t="array" ref="C2773">IFERROR(INDEX('Expected Production'!$C$2:$N$200,MATCH(A2773,'Expected Production'!$A$2:$A$200,0),MONTH(B2773)),"")</f>
        <v>27402.3</v>
      </c>
    </row>
    <row r="2774" spans="1:3" hidden="1" x14ac:dyDescent="0.3">
      <c r="A2774" t="s">
        <v>251</v>
      </c>
      <c r="B2774" s="2">
        <v>45292</v>
      </c>
      <c r="C2774" cm="1">
        <f t="array" ref="C2774">IFERROR(INDEX('Expected Production'!$C$2:$N$200,MATCH(A2774,'Expected Production'!$A$2:$A$200,0),MONTH(B2774)),"")</f>
        <v>28877.4</v>
      </c>
    </row>
    <row r="2775" spans="1:3" hidden="1" x14ac:dyDescent="0.3">
      <c r="A2775" t="s">
        <v>251</v>
      </c>
      <c r="B2775" s="2">
        <v>45323</v>
      </c>
      <c r="C2775" cm="1">
        <f t="array" ref="C2775">IFERROR(INDEX('Expected Production'!$C$2:$N$200,MATCH(A2775,'Expected Production'!$A$2:$A$200,0),MONTH(B2775)),"")</f>
        <v>25884.9</v>
      </c>
    </row>
    <row r="2776" spans="1:3" hidden="1" x14ac:dyDescent="0.3">
      <c r="A2776" t="s">
        <v>251</v>
      </c>
      <c r="B2776" s="2">
        <v>45352</v>
      </c>
      <c r="C2776" cm="1">
        <f t="array" ref="C2776">IFERROR(INDEX('Expected Production'!$C$2:$N$200,MATCH(A2776,'Expected Production'!$A$2:$A$200,0),MONTH(B2776)),"")</f>
        <v>27341.100000000002</v>
      </c>
    </row>
    <row r="2777" spans="1:3" hidden="1" x14ac:dyDescent="0.3">
      <c r="A2777" t="s">
        <v>251</v>
      </c>
      <c r="B2777" s="2">
        <v>45383</v>
      </c>
      <c r="C2777" cm="1">
        <f t="array" ref="C2777">IFERROR(INDEX('Expected Production'!$C$2:$N$200,MATCH(A2777,'Expected Production'!$A$2:$A$200,0),MONTH(B2777)),"")</f>
        <v>27823.5</v>
      </c>
    </row>
    <row r="2778" spans="1:3" hidden="1" x14ac:dyDescent="0.3">
      <c r="A2778" t="s">
        <v>251</v>
      </c>
      <c r="B2778" s="2">
        <v>45413</v>
      </c>
      <c r="C2778" cm="1">
        <f t="array" ref="C2778">IFERROR(INDEX('Expected Production'!$C$2:$N$200,MATCH(A2778,'Expected Production'!$A$2:$A$200,0),MONTH(B2778)),"")</f>
        <v>29920.5</v>
      </c>
    </row>
    <row r="2779" spans="1:3" hidden="1" x14ac:dyDescent="0.3">
      <c r="A2779" t="s">
        <v>251</v>
      </c>
      <c r="B2779" s="2">
        <v>45444</v>
      </c>
      <c r="C2779" cm="1">
        <f t="array" ref="C2779">IFERROR(INDEX('Expected Production'!$C$2:$N$200,MATCH(A2779,'Expected Production'!$A$2:$A$200,0),MONTH(B2779)),"")</f>
        <v>28644.3</v>
      </c>
    </row>
    <row r="2780" spans="1:3" hidden="1" x14ac:dyDescent="0.3">
      <c r="A2780" t="s">
        <v>251</v>
      </c>
      <c r="B2780" s="2">
        <v>45474</v>
      </c>
      <c r="C2780" cm="1">
        <f t="array" ref="C2780">IFERROR(INDEX('Expected Production'!$C$2:$N$200,MATCH(A2780,'Expected Production'!$A$2:$A$200,0),MONTH(B2780)),"")</f>
        <v>28051.200000000001</v>
      </c>
    </row>
    <row r="2781" spans="1:3" hidden="1" x14ac:dyDescent="0.3">
      <c r="A2781" t="s">
        <v>251</v>
      </c>
      <c r="B2781" s="2">
        <v>45505</v>
      </c>
      <c r="C2781" cm="1">
        <f t="array" ref="C2781">IFERROR(INDEX('Expected Production'!$C$2:$N$200,MATCH(A2781,'Expected Production'!$A$2:$A$200,0),MONTH(B2781)),"")</f>
        <v>31649.4</v>
      </c>
    </row>
    <row r="2782" spans="1:3" hidden="1" x14ac:dyDescent="0.3">
      <c r="A2782" t="s">
        <v>251</v>
      </c>
      <c r="B2782" s="2">
        <v>45536</v>
      </c>
      <c r="C2782" cm="1">
        <f t="array" ref="C2782">IFERROR(INDEX('Expected Production'!$C$2:$N$200,MATCH(A2782,'Expected Production'!$A$2:$A$200,0),MONTH(B2782)),"")</f>
        <v>28250.100000000002</v>
      </c>
    </row>
    <row r="2783" spans="1:3" hidden="1" x14ac:dyDescent="0.3">
      <c r="A2783" t="s">
        <v>251</v>
      </c>
      <c r="B2783" s="2">
        <v>45566</v>
      </c>
      <c r="C2783" cm="1">
        <f t="array" ref="C2783">IFERROR(INDEX('Expected Production'!$C$2:$N$200,MATCH(A2783,'Expected Production'!$A$2:$A$200,0),MONTH(B2783)),"")</f>
        <v>28466.100000000002</v>
      </c>
    </row>
    <row r="2784" spans="1:3" hidden="1" x14ac:dyDescent="0.3">
      <c r="A2784" t="s">
        <v>251</v>
      </c>
      <c r="B2784" s="2">
        <v>45597</v>
      </c>
      <c r="C2784" cm="1">
        <f t="array" ref="C2784">IFERROR(INDEX('Expected Production'!$C$2:$N$200,MATCH(A2784,'Expected Production'!$A$2:$A$200,0),MONTH(B2784)),"")</f>
        <v>28991.7</v>
      </c>
    </row>
    <row r="2785" spans="1:3" hidden="1" x14ac:dyDescent="0.3">
      <c r="A2785" t="s">
        <v>251</v>
      </c>
      <c r="B2785" s="2">
        <v>45627</v>
      </c>
      <c r="C2785" cm="1">
        <f t="array" ref="C2785">IFERROR(INDEX('Expected Production'!$C$2:$N$200,MATCH(A2785,'Expected Production'!$A$2:$A$200,0),MONTH(B2785)),"")</f>
        <v>28903.5</v>
      </c>
    </row>
    <row r="2786" spans="1:3" hidden="1" x14ac:dyDescent="0.3">
      <c r="A2786" t="s">
        <v>251</v>
      </c>
      <c r="B2786" s="2">
        <v>45658</v>
      </c>
      <c r="C2786" cm="1">
        <f t="array" ref="C2786">IFERROR(INDEX('Expected Production'!$C$2:$N$200,MATCH(A2786,'Expected Production'!$A$2:$A$200,0),MONTH(B2786)),"")</f>
        <v>28877.4</v>
      </c>
    </row>
    <row r="2787" spans="1:3" hidden="1" x14ac:dyDescent="0.3">
      <c r="A2787" t="s">
        <v>251</v>
      </c>
      <c r="B2787" s="2">
        <v>45689</v>
      </c>
      <c r="C2787" cm="1">
        <f t="array" ref="C2787">IFERROR(INDEX('Expected Production'!$C$2:$N$200,MATCH(A2787,'Expected Production'!$A$2:$A$200,0),MONTH(B2787)),"")</f>
        <v>25884.9</v>
      </c>
    </row>
    <row r="2788" spans="1:3" hidden="1" x14ac:dyDescent="0.3">
      <c r="A2788" t="s">
        <v>251</v>
      </c>
      <c r="B2788" s="2">
        <v>45717</v>
      </c>
      <c r="C2788" cm="1">
        <f t="array" ref="C2788">IFERROR(INDEX('Expected Production'!$C$2:$N$200,MATCH(A2788,'Expected Production'!$A$2:$A$200,0),MONTH(B2788)),"")</f>
        <v>27341.100000000002</v>
      </c>
    </row>
    <row r="2789" spans="1:3" hidden="1" x14ac:dyDescent="0.3">
      <c r="A2789" t="s">
        <v>251</v>
      </c>
      <c r="B2789" s="2">
        <v>45748</v>
      </c>
      <c r="C2789" cm="1">
        <f t="array" ref="C2789">IFERROR(INDEX('Expected Production'!$C$2:$N$200,MATCH(A2789,'Expected Production'!$A$2:$A$200,0),MONTH(B2789)),"")</f>
        <v>27823.5</v>
      </c>
    </row>
    <row r="2790" spans="1:3" hidden="1" x14ac:dyDescent="0.3">
      <c r="A2790" t="s">
        <v>251</v>
      </c>
      <c r="B2790" s="2">
        <v>45778</v>
      </c>
      <c r="C2790" cm="1">
        <f t="array" ref="C2790">IFERROR(INDEX('Expected Production'!$C$2:$N$200,MATCH(A2790,'Expected Production'!$A$2:$A$200,0),MONTH(B2790)),"")</f>
        <v>29920.5</v>
      </c>
    </row>
    <row r="2791" spans="1:3" hidden="1" x14ac:dyDescent="0.3">
      <c r="A2791" t="s">
        <v>251</v>
      </c>
      <c r="B2791" s="2">
        <v>45809</v>
      </c>
      <c r="C2791" cm="1">
        <f t="array" ref="C2791">IFERROR(INDEX('Expected Production'!$C$2:$N$200,MATCH(A2791,'Expected Production'!$A$2:$A$200,0),MONTH(B2791)),"")</f>
        <v>28644.3</v>
      </c>
    </row>
    <row r="2792" spans="1:3" hidden="1" x14ac:dyDescent="0.3">
      <c r="A2792" t="s">
        <v>251</v>
      </c>
      <c r="B2792" s="2">
        <v>45839</v>
      </c>
      <c r="C2792" cm="1">
        <f t="array" ref="C2792">IFERROR(INDEX('Expected Production'!$C$2:$N$200,MATCH(A2792,'Expected Production'!$A$2:$A$200,0),MONTH(B2792)),"")</f>
        <v>28051.200000000001</v>
      </c>
    </row>
    <row r="2793" spans="1:3" hidden="1" x14ac:dyDescent="0.3">
      <c r="A2793" t="s">
        <v>251</v>
      </c>
      <c r="B2793" s="2">
        <v>45870</v>
      </c>
      <c r="C2793" cm="1">
        <f t="array" ref="C2793">IFERROR(INDEX('Expected Production'!$C$2:$N$200,MATCH(A2793,'Expected Production'!$A$2:$A$200,0),MONTH(B2793)),"")</f>
        <v>31649.4</v>
      </c>
    </row>
    <row r="2794" spans="1:3" hidden="1" x14ac:dyDescent="0.3">
      <c r="A2794" t="s">
        <v>251</v>
      </c>
      <c r="B2794" s="2">
        <v>45901</v>
      </c>
      <c r="C2794" cm="1">
        <f t="array" ref="C2794">IFERROR(INDEX('Expected Production'!$C$2:$N$200,MATCH(A2794,'Expected Production'!$A$2:$A$200,0),MONTH(B2794)),"")</f>
        <v>28250.100000000002</v>
      </c>
    </row>
    <row r="2795" spans="1:3" hidden="1" x14ac:dyDescent="0.3">
      <c r="A2795" t="s">
        <v>251</v>
      </c>
      <c r="B2795" s="2">
        <v>45931</v>
      </c>
      <c r="C2795" cm="1">
        <f t="array" ref="C2795">IFERROR(INDEX('Expected Production'!$C$2:$N$200,MATCH(A2795,'Expected Production'!$A$2:$A$200,0),MONTH(B2795)),"")</f>
        <v>28466.100000000002</v>
      </c>
    </row>
    <row r="2796" spans="1:3" hidden="1" x14ac:dyDescent="0.3">
      <c r="A2796" t="s">
        <v>251</v>
      </c>
      <c r="B2796" s="2">
        <v>45962</v>
      </c>
      <c r="C2796" cm="1">
        <f t="array" ref="C2796">IFERROR(INDEX('Expected Production'!$C$2:$N$200,MATCH(A2796,'Expected Production'!$A$2:$A$200,0),MONTH(B2796)),"")</f>
        <v>28991.7</v>
      </c>
    </row>
    <row r="2797" spans="1:3" hidden="1" x14ac:dyDescent="0.3">
      <c r="A2797" t="s">
        <v>251</v>
      </c>
      <c r="B2797" s="2">
        <v>45992</v>
      </c>
      <c r="C2797" cm="1">
        <f t="array" ref="C2797">IFERROR(INDEX('Expected Production'!$C$2:$N$200,MATCH(A2797,'Expected Production'!$A$2:$A$200,0),MONTH(B2797)),"")</f>
        <v>28903.5</v>
      </c>
    </row>
    <row r="2798" spans="1:3" hidden="1" x14ac:dyDescent="0.3">
      <c r="A2798" t="s">
        <v>251</v>
      </c>
      <c r="B2798" s="2">
        <v>46023</v>
      </c>
      <c r="C2798" cm="1">
        <f t="array" ref="C2798">IFERROR(INDEX('Expected Production'!$C$2:$N$200,MATCH(A2798,'Expected Production'!$A$2:$A$200,0),MONTH(B2798)),"")</f>
        <v>28877.4</v>
      </c>
    </row>
    <row r="2799" spans="1:3" hidden="1" x14ac:dyDescent="0.3">
      <c r="A2799" t="s">
        <v>251</v>
      </c>
      <c r="B2799" s="2">
        <v>46054</v>
      </c>
      <c r="C2799" cm="1">
        <f t="array" ref="C2799">IFERROR(INDEX('Expected Production'!$C$2:$N$200,MATCH(A2799,'Expected Production'!$A$2:$A$200,0),MONTH(B2799)),"")</f>
        <v>25884.9</v>
      </c>
    </row>
    <row r="2800" spans="1:3" hidden="1" x14ac:dyDescent="0.3">
      <c r="A2800" t="s">
        <v>251</v>
      </c>
      <c r="B2800" s="2">
        <v>46082</v>
      </c>
      <c r="C2800" cm="1">
        <f t="array" ref="C2800">IFERROR(INDEX('Expected Production'!$C$2:$N$200,MATCH(A2800,'Expected Production'!$A$2:$A$200,0),MONTH(B2800)),"")</f>
        <v>27341.100000000002</v>
      </c>
    </row>
    <row r="2801" spans="1:3" hidden="1" x14ac:dyDescent="0.3">
      <c r="A2801" t="s">
        <v>251</v>
      </c>
      <c r="B2801" s="2">
        <v>46113</v>
      </c>
      <c r="C2801" cm="1">
        <f t="array" ref="C2801">IFERROR(INDEX('Expected Production'!$C$2:$N$200,MATCH(A2801,'Expected Production'!$A$2:$A$200,0),MONTH(B2801)),"")</f>
        <v>27823.5</v>
      </c>
    </row>
    <row r="2802" spans="1:3" hidden="1" x14ac:dyDescent="0.3">
      <c r="A2802" t="s">
        <v>251</v>
      </c>
      <c r="B2802" s="2">
        <v>46143</v>
      </c>
      <c r="C2802" cm="1">
        <f t="array" ref="C2802">IFERROR(INDEX('Expected Production'!$C$2:$N$200,MATCH(A2802,'Expected Production'!$A$2:$A$200,0),MONTH(B2802)),"")</f>
        <v>29920.5</v>
      </c>
    </row>
    <row r="2803" spans="1:3" hidden="1" x14ac:dyDescent="0.3">
      <c r="A2803" t="s">
        <v>251</v>
      </c>
      <c r="B2803" s="2">
        <v>46174</v>
      </c>
      <c r="C2803" cm="1">
        <f t="array" ref="C2803">IFERROR(INDEX('Expected Production'!$C$2:$N$200,MATCH(A2803,'Expected Production'!$A$2:$A$200,0),MONTH(B2803)),"")</f>
        <v>28644.3</v>
      </c>
    </row>
    <row r="2804" spans="1:3" hidden="1" x14ac:dyDescent="0.3">
      <c r="A2804" t="s">
        <v>251</v>
      </c>
      <c r="B2804" s="2">
        <v>46204</v>
      </c>
      <c r="C2804" cm="1">
        <f t="array" ref="C2804">IFERROR(INDEX('Expected Production'!$C$2:$N$200,MATCH(A2804,'Expected Production'!$A$2:$A$200,0),MONTH(B2804)),"")</f>
        <v>28051.200000000001</v>
      </c>
    </row>
    <row r="2805" spans="1:3" hidden="1" x14ac:dyDescent="0.3">
      <c r="A2805" t="s">
        <v>251</v>
      </c>
      <c r="B2805" s="2">
        <v>46235</v>
      </c>
      <c r="C2805" cm="1">
        <f t="array" ref="C2805">IFERROR(INDEX('Expected Production'!$C$2:$N$200,MATCH(A2805,'Expected Production'!$A$2:$A$200,0),MONTH(B2805)),"")</f>
        <v>31649.4</v>
      </c>
    </row>
    <row r="2806" spans="1:3" hidden="1" x14ac:dyDescent="0.3">
      <c r="A2806" t="s">
        <v>251</v>
      </c>
      <c r="B2806" s="2">
        <v>46266</v>
      </c>
      <c r="C2806" cm="1">
        <f t="array" ref="C2806">IFERROR(INDEX('Expected Production'!$C$2:$N$200,MATCH(A2806,'Expected Production'!$A$2:$A$200,0),MONTH(B2806)),"")</f>
        <v>28250.100000000002</v>
      </c>
    </row>
    <row r="2807" spans="1:3" hidden="1" x14ac:dyDescent="0.3">
      <c r="A2807" t="s">
        <v>251</v>
      </c>
      <c r="B2807" s="2">
        <v>46296</v>
      </c>
      <c r="C2807" cm="1">
        <f t="array" ref="C2807">IFERROR(INDEX('Expected Production'!$C$2:$N$200,MATCH(A2807,'Expected Production'!$A$2:$A$200,0),MONTH(B2807)),"")</f>
        <v>28466.100000000002</v>
      </c>
    </row>
    <row r="2808" spans="1:3" hidden="1" x14ac:dyDescent="0.3">
      <c r="A2808" t="s">
        <v>251</v>
      </c>
      <c r="B2808" s="2">
        <v>46327</v>
      </c>
      <c r="C2808" cm="1">
        <f t="array" ref="C2808">IFERROR(INDEX('Expected Production'!$C$2:$N$200,MATCH(A2808,'Expected Production'!$A$2:$A$200,0),MONTH(B2808)),"")</f>
        <v>28991.7</v>
      </c>
    </row>
    <row r="2809" spans="1:3" hidden="1" x14ac:dyDescent="0.3">
      <c r="A2809" t="s">
        <v>251</v>
      </c>
      <c r="B2809" s="2">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02"/>
  <sheetViews>
    <sheetView zoomScaleNormal="100" workbookViewId="0">
      <pane ySplit="1778" topLeftCell="A1794" activePane="bottomLeft" state="frozen"/>
      <selection pane="bottomLeft" activeCell="F599" sqref="F599"/>
    </sheetView>
  </sheetViews>
  <sheetFormatPr defaultRowHeight="14.4" x14ac:dyDescent="0.3"/>
  <cols>
    <col min="1" max="1" width="24.109375" bestFit="1" customWidth="1"/>
    <col min="2" max="2" width="12" customWidth="1"/>
    <col min="3" max="3" width="37.109375" customWidth="1"/>
    <col min="4" max="4" width="19.109375" bestFit="1" customWidth="1"/>
    <col min="5" max="5" width="31.88671875" bestFit="1" customWidth="1"/>
    <col min="6" max="6" width="28.109375" customWidth="1"/>
    <col min="7" max="7" width="34.6640625" customWidth="1"/>
    <col min="8" max="8" width="29.5546875" bestFit="1" customWidth="1"/>
  </cols>
  <sheetData>
    <row r="1" spans="1:8" x14ac:dyDescent="0.3">
      <c r="A1" t="s">
        <v>269</v>
      </c>
      <c r="B1" t="s">
        <v>267</v>
      </c>
      <c r="C1" t="s">
        <v>887</v>
      </c>
      <c r="D1" t="s">
        <v>888</v>
      </c>
      <c r="E1" t="s">
        <v>889</v>
      </c>
      <c r="F1" t="s">
        <v>890</v>
      </c>
      <c r="G1" t="s">
        <v>891</v>
      </c>
      <c r="H1" t="s">
        <v>892</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277</v>
      </c>
    </row>
    <row r="8" spans="1:8" ht="72" customHeight="1" x14ac:dyDescent="0.3">
      <c r="A8" t="s">
        <v>31</v>
      </c>
      <c r="B8" s="2">
        <v>45717</v>
      </c>
      <c r="C8" s="10" t="s">
        <v>278</v>
      </c>
    </row>
    <row r="9" spans="1:8" ht="57.6" customHeight="1" x14ac:dyDescent="0.3">
      <c r="A9" t="s">
        <v>31</v>
      </c>
      <c r="B9" s="2">
        <v>45748</v>
      </c>
      <c r="C9" s="10" t="s">
        <v>279</v>
      </c>
    </row>
    <row r="10" spans="1:8" ht="57.6" customHeight="1" x14ac:dyDescent="0.3">
      <c r="A10" t="s">
        <v>31</v>
      </c>
      <c r="B10" s="2">
        <v>45778</v>
      </c>
      <c r="C10" s="10" t="s">
        <v>280</v>
      </c>
    </row>
    <row r="11" spans="1:8" ht="57.6" customHeight="1" x14ac:dyDescent="0.3">
      <c r="A11" t="s">
        <v>31</v>
      </c>
      <c r="B11" s="2">
        <v>45809</v>
      </c>
      <c r="C11" s="10" t="s">
        <v>281</v>
      </c>
    </row>
    <row r="12" spans="1:8" ht="57.6" customHeight="1" x14ac:dyDescent="0.3">
      <c r="A12" t="s">
        <v>31</v>
      </c>
      <c r="B12" s="2">
        <v>45839</v>
      </c>
      <c r="C12" s="10" t="s">
        <v>282</v>
      </c>
    </row>
    <row r="13" spans="1:8" ht="57.6" customHeight="1" x14ac:dyDescent="0.3">
      <c r="A13" t="s">
        <v>31</v>
      </c>
      <c r="B13" s="2">
        <v>45870</v>
      </c>
      <c r="C13" s="10" t="s">
        <v>283</v>
      </c>
    </row>
    <row r="14" spans="1:8" ht="57.6" customHeight="1" x14ac:dyDescent="0.3">
      <c r="A14" t="s">
        <v>31</v>
      </c>
      <c r="B14" s="2">
        <v>45901</v>
      </c>
      <c r="C14" s="10" t="s">
        <v>284</v>
      </c>
    </row>
    <row r="15" spans="1:8" ht="57.6" customHeight="1" x14ac:dyDescent="0.3">
      <c r="A15" t="s">
        <v>31</v>
      </c>
      <c r="B15" s="2">
        <v>45931</v>
      </c>
      <c r="C15" s="10" t="s">
        <v>285</v>
      </c>
    </row>
    <row r="16" spans="1:8" ht="57.6" customHeight="1" x14ac:dyDescent="0.3">
      <c r="A16" t="s">
        <v>31</v>
      </c>
      <c r="B16" s="2">
        <v>45962</v>
      </c>
      <c r="C16" s="10" t="s">
        <v>286</v>
      </c>
    </row>
    <row r="17" spans="1:3" ht="28.8" x14ac:dyDescent="0.3">
      <c r="A17" t="s">
        <v>31</v>
      </c>
      <c r="B17" s="2">
        <v>45992</v>
      </c>
      <c r="C17" s="10" t="s">
        <v>287</v>
      </c>
    </row>
    <row r="18" spans="1:3" ht="28.8" x14ac:dyDescent="0.3">
      <c r="A18" t="s">
        <v>31</v>
      </c>
      <c r="B18" s="2">
        <v>46023</v>
      </c>
      <c r="C18" s="10" t="s">
        <v>287</v>
      </c>
    </row>
    <row r="19" spans="1:3" ht="28.8" x14ac:dyDescent="0.3">
      <c r="A19" t="s">
        <v>31</v>
      </c>
      <c r="B19" s="2">
        <v>46054</v>
      </c>
      <c r="C19" s="10" t="s">
        <v>287</v>
      </c>
    </row>
    <row r="20" spans="1:3" ht="28.8" x14ac:dyDescent="0.3">
      <c r="A20" t="s">
        <v>31</v>
      </c>
      <c r="B20" s="2">
        <v>46082</v>
      </c>
      <c r="C20" s="10" t="s">
        <v>287</v>
      </c>
    </row>
    <row r="21" spans="1:3" ht="28.95" customHeight="1" x14ac:dyDescent="0.3">
      <c r="A21" t="s">
        <v>31</v>
      </c>
      <c r="B21" s="2">
        <v>46113</v>
      </c>
      <c r="C21" s="10" t="s">
        <v>288</v>
      </c>
    </row>
    <row r="22" spans="1:3" x14ac:dyDescent="0.3">
      <c r="A22" t="s">
        <v>31</v>
      </c>
      <c r="B22" s="2">
        <v>46143</v>
      </c>
      <c r="C22" s="10" t="s">
        <v>853</v>
      </c>
    </row>
    <row r="23" spans="1:3" x14ac:dyDescent="0.3">
      <c r="A23" t="s">
        <v>31</v>
      </c>
      <c r="B23" s="2">
        <v>46174</v>
      </c>
      <c r="C23" s="10"/>
    </row>
    <row r="24" spans="1:3" x14ac:dyDescent="0.3">
      <c r="A24" t="s">
        <v>31</v>
      </c>
      <c r="B24" s="2">
        <v>46204</v>
      </c>
      <c r="C24" s="10"/>
    </row>
    <row r="25" spans="1:3" x14ac:dyDescent="0.3">
      <c r="A25" t="s">
        <v>31</v>
      </c>
      <c r="B25" s="2">
        <v>46235</v>
      </c>
      <c r="C25" s="10"/>
    </row>
    <row r="26" spans="1:3" x14ac:dyDescent="0.3">
      <c r="A26" t="s">
        <v>43</v>
      </c>
      <c r="B26" s="2">
        <v>45536</v>
      </c>
      <c r="C26" s="10"/>
    </row>
    <row r="27" spans="1:3" x14ac:dyDescent="0.3">
      <c r="A27" t="s">
        <v>43</v>
      </c>
      <c r="B27" s="2">
        <v>45566</v>
      </c>
      <c r="C27" s="10"/>
    </row>
    <row r="28" spans="1:3" x14ac:dyDescent="0.3">
      <c r="A28" t="s">
        <v>43</v>
      </c>
      <c r="B28" s="2">
        <v>45597</v>
      </c>
      <c r="C28" s="10"/>
    </row>
    <row r="29" spans="1:3" x14ac:dyDescent="0.3">
      <c r="A29" t="s">
        <v>43</v>
      </c>
      <c r="B29" s="2">
        <v>45627</v>
      </c>
      <c r="C29" s="10"/>
    </row>
    <row r="30" spans="1:3" x14ac:dyDescent="0.3">
      <c r="A30" t="s">
        <v>43</v>
      </c>
      <c r="B30" s="2">
        <v>45658</v>
      </c>
      <c r="C30" s="10"/>
    </row>
    <row r="31" spans="1:3" ht="43.2" customHeight="1" x14ac:dyDescent="0.3">
      <c r="A31" t="s">
        <v>43</v>
      </c>
      <c r="B31" s="2">
        <v>45689</v>
      </c>
      <c r="C31" s="10" t="s">
        <v>289</v>
      </c>
    </row>
    <row r="32" spans="1:3" x14ac:dyDescent="0.3">
      <c r="A32" t="s">
        <v>43</v>
      </c>
      <c r="B32" s="2">
        <v>45717</v>
      </c>
      <c r="C32" s="10" t="s">
        <v>290</v>
      </c>
    </row>
    <row r="33" spans="1:5" x14ac:dyDescent="0.3">
      <c r="A33" t="s">
        <v>43</v>
      </c>
      <c r="B33" s="2">
        <v>45748</v>
      </c>
      <c r="C33" s="10" t="s">
        <v>290</v>
      </c>
    </row>
    <row r="34" spans="1:5" ht="72" customHeight="1" x14ac:dyDescent="0.3">
      <c r="A34" t="s">
        <v>43</v>
      </c>
      <c r="B34" s="2">
        <v>45778</v>
      </c>
      <c r="C34" s="10" t="s">
        <v>291</v>
      </c>
    </row>
    <row r="35" spans="1:5" ht="72" customHeight="1" x14ac:dyDescent="0.3">
      <c r="A35" t="s">
        <v>43</v>
      </c>
      <c r="B35" s="2">
        <v>45809</v>
      </c>
      <c r="C35" s="10" t="s">
        <v>292</v>
      </c>
    </row>
    <row r="36" spans="1:5" ht="72" customHeight="1" x14ac:dyDescent="0.3">
      <c r="A36" t="s">
        <v>43</v>
      </c>
      <c r="B36" s="2">
        <v>45839</v>
      </c>
      <c r="C36" s="10" t="s">
        <v>293</v>
      </c>
    </row>
    <row r="37" spans="1:5" ht="57.6" customHeight="1" x14ac:dyDescent="0.3">
      <c r="A37" t="s">
        <v>43</v>
      </c>
      <c r="B37" s="2">
        <v>45870</v>
      </c>
      <c r="C37" s="10" t="s">
        <v>294</v>
      </c>
    </row>
    <row r="38" spans="1:5" ht="57.6" customHeight="1" x14ac:dyDescent="0.3">
      <c r="A38" t="s">
        <v>43</v>
      </c>
      <c r="B38" s="2">
        <v>45901</v>
      </c>
      <c r="C38" s="10" t="s">
        <v>295</v>
      </c>
    </row>
    <row r="39" spans="1:5" ht="72" customHeight="1" x14ac:dyDescent="0.3">
      <c r="A39" t="s">
        <v>43</v>
      </c>
      <c r="B39" s="2">
        <v>45931</v>
      </c>
      <c r="C39" s="10" t="s">
        <v>296</v>
      </c>
    </row>
    <row r="40" spans="1:5" ht="57.6" customHeight="1" x14ac:dyDescent="0.3">
      <c r="A40" t="s">
        <v>43</v>
      </c>
      <c r="B40" s="2">
        <v>45962</v>
      </c>
      <c r="C40" s="10" t="s">
        <v>297</v>
      </c>
    </row>
    <row r="41" spans="1:5" ht="28.8" x14ac:dyDescent="0.3">
      <c r="A41" t="s">
        <v>43</v>
      </c>
      <c r="B41" s="2">
        <v>45992</v>
      </c>
      <c r="C41" s="10" t="s">
        <v>298</v>
      </c>
    </row>
    <row r="42" spans="1:5" ht="28.8" x14ac:dyDescent="0.3">
      <c r="A42" t="s">
        <v>43</v>
      </c>
      <c r="B42" s="2">
        <v>46023</v>
      </c>
      <c r="C42" s="10" t="s">
        <v>299</v>
      </c>
    </row>
    <row r="43" spans="1:5" ht="28.8" x14ac:dyDescent="0.3">
      <c r="A43" t="s">
        <v>43</v>
      </c>
      <c r="B43" s="2">
        <v>46054</v>
      </c>
      <c r="C43" s="10" t="s">
        <v>300</v>
      </c>
    </row>
    <row r="44" spans="1:5" x14ac:dyDescent="0.3">
      <c r="A44" t="s">
        <v>43</v>
      </c>
      <c r="B44" s="2">
        <v>46082</v>
      </c>
      <c r="C44" s="10" t="s">
        <v>301</v>
      </c>
    </row>
    <row r="45" spans="1:5" x14ac:dyDescent="0.3">
      <c r="A45" t="s">
        <v>43</v>
      </c>
      <c r="B45" s="2">
        <v>46113</v>
      </c>
      <c r="C45" s="10" t="s">
        <v>301</v>
      </c>
    </row>
    <row r="46" spans="1:5" ht="28.8" x14ac:dyDescent="0.3">
      <c r="A46" t="s">
        <v>43</v>
      </c>
      <c r="B46" s="2">
        <v>46143</v>
      </c>
      <c r="C46" s="10" t="s">
        <v>868</v>
      </c>
    </row>
    <row r="47" spans="1:5" x14ac:dyDescent="0.3">
      <c r="A47" t="s">
        <v>43</v>
      </c>
      <c r="B47" s="2">
        <v>46174</v>
      </c>
      <c r="C47" s="10" t="s">
        <v>897</v>
      </c>
      <c r="D47">
        <v>0</v>
      </c>
      <c r="E47" t="s">
        <v>33</v>
      </c>
    </row>
    <row r="48" spans="1:5" x14ac:dyDescent="0.3">
      <c r="A48" t="s">
        <v>43</v>
      </c>
      <c r="B48" s="2">
        <v>46204</v>
      </c>
      <c r="C48" s="10"/>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ht="28.8" x14ac:dyDescent="0.3">
      <c r="A54" t="s">
        <v>49</v>
      </c>
      <c r="B54" s="2">
        <v>45658</v>
      </c>
      <c r="C54" s="10" t="s">
        <v>893</v>
      </c>
      <c r="D54" t="s">
        <v>33</v>
      </c>
      <c r="E54" t="s">
        <v>33</v>
      </c>
      <c r="F54" t="s">
        <v>894</v>
      </c>
      <c r="G54" s="10" t="s">
        <v>933</v>
      </c>
    </row>
    <row r="55" spans="1:7" ht="28.8" x14ac:dyDescent="0.3">
      <c r="A55" t="s">
        <v>49</v>
      </c>
      <c r="B55" s="2">
        <v>45689</v>
      </c>
      <c r="C55" s="10" t="s">
        <v>896</v>
      </c>
      <c r="D55" t="s">
        <v>33</v>
      </c>
      <c r="E55" t="s">
        <v>33</v>
      </c>
      <c r="F55" t="s">
        <v>894</v>
      </c>
      <c r="G55" s="10" t="s">
        <v>933</v>
      </c>
    </row>
    <row r="56" spans="1:7" ht="28.8" x14ac:dyDescent="0.3">
      <c r="A56" t="s">
        <v>49</v>
      </c>
      <c r="B56" s="2">
        <v>45717</v>
      </c>
      <c r="C56" s="10" t="s">
        <v>893</v>
      </c>
      <c r="D56" t="s">
        <v>33</v>
      </c>
      <c r="E56" t="s">
        <v>33</v>
      </c>
      <c r="F56" t="s">
        <v>894</v>
      </c>
      <c r="G56" s="10" t="s">
        <v>933</v>
      </c>
    </row>
    <row r="57" spans="1:7" ht="28.8" x14ac:dyDescent="0.3">
      <c r="A57" t="s">
        <v>49</v>
      </c>
      <c r="B57" s="2">
        <v>45748</v>
      </c>
      <c r="C57" s="10" t="s">
        <v>897</v>
      </c>
      <c r="F57" t="s">
        <v>894</v>
      </c>
      <c r="G57" s="10" t="s">
        <v>933</v>
      </c>
    </row>
    <row r="58" spans="1:7" ht="28.8" x14ac:dyDescent="0.3">
      <c r="A58" t="s">
        <v>49</v>
      </c>
      <c r="B58" s="2">
        <v>45778</v>
      </c>
      <c r="C58" s="10">
        <v>0</v>
      </c>
      <c r="D58">
        <v>30</v>
      </c>
      <c r="F58" t="s">
        <v>894</v>
      </c>
      <c r="G58" s="10" t="s">
        <v>933</v>
      </c>
    </row>
    <row r="59" spans="1:7" ht="28.8" x14ac:dyDescent="0.3">
      <c r="A59" t="s">
        <v>49</v>
      </c>
      <c r="B59" s="2">
        <v>45809</v>
      </c>
      <c r="C59" s="10" t="s">
        <v>899</v>
      </c>
      <c r="D59">
        <v>4</v>
      </c>
      <c r="E59" t="s">
        <v>898</v>
      </c>
      <c r="F59" t="s">
        <v>894</v>
      </c>
      <c r="G59" s="10" t="s">
        <v>933</v>
      </c>
    </row>
    <row r="60" spans="1:7" x14ac:dyDescent="0.3">
      <c r="A60" t="s">
        <v>49</v>
      </c>
      <c r="B60" s="2">
        <v>45839</v>
      </c>
      <c r="C60" s="10" t="s">
        <v>900</v>
      </c>
      <c r="D60" s="10" t="s">
        <v>893</v>
      </c>
      <c r="E60" t="s">
        <v>914</v>
      </c>
      <c r="F60" t="s">
        <v>983</v>
      </c>
      <c r="G60" t="s">
        <v>993</v>
      </c>
    </row>
    <row r="61" spans="1:7" ht="28.8" x14ac:dyDescent="0.3">
      <c r="A61" t="s">
        <v>49</v>
      </c>
      <c r="B61" s="2">
        <v>45870</v>
      </c>
      <c r="C61" s="10" t="s">
        <v>893</v>
      </c>
      <c r="D61">
        <v>0</v>
      </c>
      <c r="F61" t="s">
        <v>33</v>
      </c>
      <c r="G61" s="10" t="s">
        <v>933</v>
      </c>
    </row>
    <row r="62" spans="1:7" x14ac:dyDescent="0.3">
      <c r="A62" t="s">
        <v>49</v>
      </c>
      <c r="B62" s="2">
        <v>45901</v>
      </c>
      <c r="C62" s="10" t="s">
        <v>893</v>
      </c>
      <c r="D62">
        <v>0</v>
      </c>
      <c r="F62" t="s">
        <v>913</v>
      </c>
      <c r="G62" t="s">
        <v>915</v>
      </c>
    </row>
    <row r="63" spans="1:7" ht="28.8" x14ac:dyDescent="0.3">
      <c r="A63" t="s">
        <v>49</v>
      </c>
      <c r="B63" s="2">
        <v>45931</v>
      </c>
      <c r="C63" s="10" t="s">
        <v>902</v>
      </c>
      <c r="D63" t="s">
        <v>901</v>
      </c>
      <c r="E63" t="s">
        <v>909</v>
      </c>
      <c r="F63" t="s">
        <v>916</v>
      </c>
      <c r="G63" s="10" t="s">
        <v>991</v>
      </c>
    </row>
    <row r="64" spans="1:7" ht="28.8" x14ac:dyDescent="0.3">
      <c r="A64" t="s">
        <v>49</v>
      </c>
      <c r="B64" s="2">
        <v>45962</v>
      </c>
      <c r="C64" s="10" t="s">
        <v>897</v>
      </c>
      <c r="D64">
        <v>0</v>
      </c>
      <c r="F64" t="s">
        <v>33</v>
      </c>
      <c r="G64" s="10" t="s">
        <v>933</v>
      </c>
    </row>
    <row r="65" spans="1:8" ht="28.8" x14ac:dyDescent="0.3">
      <c r="A65" t="s">
        <v>49</v>
      </c>
      <c r="B65" s="2">
        <v>45992</v>
      </c>
      <c r="C65" s="10" t="s">
        <v>912</v>
      </c>
      <c r="D65">
        <v>0</v>
      </c>
      <c r="E65" t="s">
        <v>33</v>
      </c>
      <c r="F65" t="s">
        <v>894</v>
      </c>
      <c r="G65" s="10" t="s">
        <v>933</v>
      </c>
    </row>
    <row r="66" spans="1:8" x14ac:dyDescent="0.3">
      <c r="A66" t="s">
        <v>49</v>
      </c>
      <c r="B66" s="2">
        <v>46023</v>
      </c>
      <c r="C66" s="10" t="s">
        <v>893</v>
      </c>
      <c r="D66">
        <v>0</v>
      </c>
      <c r="F66" t="s">
        <v>33</v>
      </c>
      <c r="G66" t="s">
        <v>895</v>
      </c>
    </row>
    <row r="67" spans="1:8" ht="28.8" x14ac:dyDescent="0.3">
      <c r="A67" t="s">
        <v>49</v>
      </c>
      <c r="B67" s="2">
        <v>46054</v>
      </c>
      <c r="C67" s="10" t="s">
        <v>904</v>
      </c>
      <c r="D67">
        <v>0</v>
      </c>
      <c r="F67" t="s">
        <v>913</v>
      </c>
      <c r="G67" s="10" t="s">
        <v>933</v>
      </c>
    </row>
    <row r="68" spans="1:8" ht="28.8" x14ac:dyDescent="0.3">
      <c r="A68" t="s">
        <v>49</v>
      </c>
      <c r="B68" s="2">
        <v>46082</v>
      </c>
      <c r="C68" s="10" t="s">
        <v>906</v>
      </c>
      <c r="D68" t="s">
        <v>905</v>
      </c>
      <c r="E68" t="s">
        <v>909</v>
      </c>
      <c r="F68" t="s">
        <v>911</v>
      </c>
      <c r="G68" s="10" t="s">
        <v>991</v>
      </c>
    </row>
    <row r="69" spans="1:8" ht="28.8" x14ac:dyDescent="0.3">
      <c r="A69" t="s">
        <v>49</v>
      </c>
      <c r="B69" s="2">
        <v>46113</v>
      </c>
      <c r="C69" s="10" t="s">
        <v>897</v>
      </c>
      <c r="D69" t="s">
        <v>908</v>
      </c>
      <c r="E69" t="s">
        <v>909</v>
      </c>
      <c r="F69" t="s">
        <v>911</v>
      </c>
      <c r="G69" s="10" t="s">
        <v>992</v>
      </c>
    </row>
    <row r="70" spans="1:8" ht="28.8" x14ac:dyDescent="0.3">
      <c r="A70" t="s">
        <v>49</v>
      </c>
      <c r="B70" s="2">
        <v>46143</v>
      </c>
      <c r="C70" s="10" t="s">
        <v>893</v>
      </c>
      <c r="D70" t="s">
        <v>907</v>
      </c>
      <c r="E70" t="s">
        <v>910</v>
      </c>
      <c r="F70" t="s">
        <v>911</v>
      </c>
      <c r="G70" s="10" t="s">
        <v>991</v>
      </c>
    </row>
    <row r="71" spans="1:8" ht="28.8" x14ac:dyDescent="0.3">
      <c r="A71" t="s">
        <v>49</v>
      </c>
      <c r="B71" s="2">
        <v>46174</v>
      </c>
      <c r="C71" s="10" t="s">
        <v>897</v>
      </c>
      <c r="D71">
        <v>0</v>
      </c>
      <c r="E71" t="s">
        <v>33</v>
      </c>
      <c r="F71" t="s">
        <v>913</v>
      </c>
      <c r="G71" s="10" t="s">
        <v>933</v>
      </c>
      <c r="H71" t="s">
        <v>36</v>
      </c>
    </row>
    <row r="72" spans="1:8" x14ac:dyDescent="0.3">
      <c r="A72" t="s">
        <v>49</v>
      </c>
      <c r="B72" s="2">
        <v>46204</v>
      </c>
      <c r="C72" s="10"/>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304</v>
      </c>
    </row>
    <row r="80" spans="1:8" ht="28.95" customHeight="1" x14ac:dyDescent="0.3">
      <c r="A80" t="s">
        <v>64</v>
      </c>
      <c r="B80" s="2">
        <v>45717</v>
      </c>
      <c r="C80" s="10" t="s">
        <v>305</v>
      </c>
    </row>
    <row r="81" spans="1:3" x14ac:dyDescent="0.3">
      <c r="A81" t="s">
        <v>64</v>
      </c>
      <c r="B81" s="2">
        <v>45748</v>
      </c>
      <c r="C81" s="10" t="s">
        <v>306</v>
      </c>
    </row>
    <row r="82" spans="1:3" ht="43.2" customHeight="1" x14ac:dyDescent="0.3">
      <c r="A82" t="s">
        <v>64</v>
      </c>
      <c r="B82" s="2">
        <v>45778</v>
      </c>
      <c r="C82" s="10" t="s">
        <v>307</v>
      </c>
    </row>
    <row r="83" spans="1:3" ht="57.6" customHeight="1" x14ac:dyDescent="0.3">
      <c r="A83" t="s">
        <v>64</v>
      </c>
      <c r="B83" s="2">
        <v>45809</v>
      </c>
      <c r="C83" s="10" t="s">
        <v>308</v>
      </c>
    </row>
    <row r="84" spans="1:3" ht="43.2" customHeight="1" x14ac:dyDescent="0.3">
      <c r="A84" t="s">
        <v>64</v>
      </c>
      <c r="B84" s="2">
        <v>45839</v>
      </c>
      <c r="C84" s="10" t="s">
        <v>309</v>
      </c>
    </row>
    <row r="85" spans="1:3" ht="72" customHeight="1" x14ac:dyDescent="0.3">
      <c r="A85" t="s">
        <v>64</v>
      </c>
      <c r="B85" s="2">
        <v>45870</v>
      </c>
      <c r="C85" s="10" t="s">
        <v>310</v>
      </c>
    </row>
    <row r="86" spans="1:3" ht="43.2" customHeight="1" x14ac:dyDescent="0.3">
      <c r="A86" t="s">
        <v>64</v>
      </c>
      <c r="B86" s="2">
        <v>45901</v>
      </c>
      <c r="C86" s="10" t="s">
        <v>311</v>
      </c>
    </row>
    <row r="87" spans="1:3" ht="43.2" customHeight="1" x14ac:dyDescent="0.3">
      <c r="A87" t="s">
        <v>64</v>
      </c>
      <c r="B87" s="2">
        <v>45931</v>
      </c>
      <c r="C87" s="10" t="s">
        <v>312</v>
      </c>
    </row>
    <row r="88" spans="1:3" ht="43.2" customHeight="1" x14ac:dyDescent="0.3">
      <c r="A88" t="s">
        <v>64</v>
      </c>
      <c r="B88" s="2">
        <v>45962</v>
      </c>
      <c r="C88" s="10" t="s">
        <v>313</v>
      </c>
    </row>
    <row r="89" spans="1:3" ht="28.8" x14ac:dyDescent="0.3">
      <c r="A89" t="s">
        <v>64</v>
      </c>
      <c r="B89" s="2">
        <v>45992</v>
      </c>
      <c r="C89" s="10" t="s">
        <v>314</v>
      </c>
    </row>
    <row r="90" spans="1:3" ht="28.8" x14ac:dyDescent="0.3">
      <c r="A90" t="s">
        <v>64</v>
      </c>
      <c r="B90" s="2">
        <v>46023</v>
      </c>
      <c r="C90" s="10" t="s">
        <v>314</v>
      </c>
    </row>
    <row r="91" spans="1:3" ht="43.2" x14ac:dyDescent="0.3">
      <c r="A91" t="s">
        <v>64</v>
      </c>
      <c r="B91" s="2">
        <v>46054</v>
      </c>
      <c r="C91" s="10" t="s">
        <v>315</v>
      </c>
    </row>
    <row r="92" spans="1:3" x14ac:dyDescent="0.3">
      <c r="A92" t="s">
        <v>64</v>
      </c>
      <c r="B92" s="2">
        <v>46082</v>
      </c>
      <c r="C92" s="10" t="s">
        <v>301</v>
      </c>
    </row>
    <row r="93" spans="1:3" x14ac:dyDescent="0.3">
      <c r="A93" t="s">
        <v>64</v>
      </c>
      <c r="B93" s="2">
        <v>46113</v>
      </c>
      <c r="C93" s="10" t="s">
        <v>301</v>
      </c>
    </row>
    <row r="94" spans="1:3" x14ac:dyDescent="0.3">
      <c r="A94" t="s">
        <v>64</v>
      </c>
      <c r="B94" s="2">
        <v>46143</v>
      </c>
      <c r="C94" s="10" t="s">
        <v>853</v>
      </c>
    </row>
    <row r="95" spans="1:3" x14ac:dyDescent="0.3">
      <c r="A95" t="s">
        <v>64</v>
      </c>
      <c r="B95" s="2">
        <v>46174</v>
      </c>
      <c r="C95" s="10"/>
    </row>
    <row r="96" spans="1:3" x14ac:dyDescent="0.3">
      <c r="A96" t="s">
        <v>64</v>
      </c>
      <c r="B96" s="2">
        <v>46204</v>
      </c>
      <c r="C96" s="10"/>
    </row>
    <row r="97" spans="1:3" x14ac:dyDescent="0.3">
      <c r="A97" t="s">
        <v>64</v>
      </c>
      <c r="B97" s="2">
        <v>46235</v>
      </c>
      <c r="C97" s="10"/>
    </row>
    <row r="98" spans="1:3" ht="28.8" x14ac:dyDescent="0.3">
      <c r="A98" t="s">
        <v>55</v>
      </c>
      <c r="B98" s="2">
        <v>45536</v>
      </c>
      <c r="C98" s="10" t="s">
        <v>316</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317</v>
      </c>
    </row>
    <row r="104" spans="1:3" ht="86.4" customHeight="1" x14ac:dyDescent="0.3">
      <c r="A104" t="s">
        <v>55</v>
      </c>
      <c r="B104" s="2">
        <v>45717</v>
      </c>
      <c r="C104" s="10" t="s">
        <v>318</v>
      </c>
    </row>
    <row r="105" spans="1:3" ht="72" customHeight="1" x14ac:dyDescent="0.3">
      <c r="A105" t="s">
        <v>55</v>
      </c>
      <c r="B105" s="2">
        <v>45748</v>
      </c>
      <c r="C105" s="10" t="s">
        <v>319</v>
      </c>
    </row>
    <row r="106" spans="1:3" ht="72" customHeight="1" x14ac:dyDescent="0.3">
      <c r="A106" t="s">
        <v>55</v>
      </c>
      <c r="B106" s="2">
        <v>45778</v>
      </c>
      <c r="C106" s="10" t="s">
        <v>320</v>
      </c>
    </row>
    <row r="107" spans="1:3" ht="57.6" customHeight="1" x14ac:dyDescent="0.3">
      <c r="A107" t="s">
        <v>55</v>
      </c>
      <c r="B107" s="2">
        <v>45809</v>
      </c>
      <c r="C107" s="10" t="s">
        <v>321</v>
      </c>
    </row>
    <row r="108" spans="1:3" ht="72" customHeight="1" x14ac:dyDescent="0.3">
      <c r="A108" t="s">
        <v>55</v>
      </c>
      <c r="B108" s="2">
        <v>45839</v>
      </c>
      <c r="C108" s="10" t="s">
        <v>322</v>
      </c>
    </row>
    <row r="109" spans="1:3" ht="57.6" customHeight="1" x14ac:dyDescent="0.3">
      <c r="A109" t="s">
        <v>55</v>
      </c>
      <c r="B109" s="2">
        <v>45870</v>
      </c>
      <c r="C109" s="10" t="s">
        <v>323</v>
      </c>
    </row>
    <row r="110" spans="1:3" ht="72" customHeight="1" x14ac:dyDescent="0.3">
      <c r="A110" t="s">
        <v>55</v>
      </c>
      <c r="B110" s="2">
        <v>45901</v>
      </c>
      <c r="C110" s="10" t="s">
        <v>324</v>
      </c>
    </row>
    <row r="111" spans="1:3" ht="86.4" customHeight="1" x14ac:dyDescent="0.3">
      <c r="A111" t="s">
        <v>55</v>
      </c>
      <c r="B111" s="2">
        <v>45931</v>
      </c>
      <c r="C111" s="10" t="s">
        <v>325</v>
      </c>
    </row>
    <row r="112" spans="1:3" ht="57.6" customHeight="1" x14ac:dyDescent="0.3">
      <c r="A112" t="s">
        <v>55</v>
      </c>
      <c r="B112" s="2">
        <v>45962</v>
      </c>
      <c r="C112" s="10" t="s">
        <v>326</v>
      </c>
    </row>
    <row r="113" spans="1:3" x14ac:dyDescent="0.3">
      <c r="A113" t="s">
        <v>55</v>
      </c>
      <c r="B113" s="2">
        <v>45992</v>
      </c>
      <c r="C113" s="10" t="s">
        <v>327</v>
      </c>
    </row>
    <row r="114" spans="1:3" ht="28.8" x14ac:dyDescent="0.3">
      <c r="A114" t="s">
        <v>55</v>
      </c>
      <c r="B114" s="2">
        <v>46023</v>
      </c>
      <c r="C114" s="10" t="s">
        <v>328</v>
      </c>
    </row>
    <row r="115" spans="1:3" ht="43.2" x14ac:dyDescent="0.3">
      <c r="A115" t="s">
        <v>55</v>
      </c>
      <c r="B115" s="2">
        <v>46054</v>
      </c>
      <c r="C115" s="10" t="s">
        <v>315</v>
      </c>
    </row>
    <row r="116" spans="1:3" x14ac:dyDescent="0.3">
      <c r="A116" t="s">
        <v>55</v>
      </c>
      <c r="B116" s="2">
        <v>46082</v>
      </c>
      <c r="C116" s="10" t="s">
        <v>301</v>
      </c>
    </row>
    <row r="117" spans="1:3" x14ac:dyDescent="0.3">
      <c r="A117" t="s">
        <v>55</v>
      </c>
      <c r="B117" s="2">
        <v>46113</v>
      </c>
      <c r="C117" s="10" t="s">
        <v>301</v>
      </c>
    </row>
    <row r="118" spans="1:3" x14ac:dyDescent="0.3">
      <c r="A118" t="s">
        <v>55</v>
      </c>
      <c r="B118" s="2">
        <v>46143</v>
      </c>
      <c r="C118" s="10" t="s">
        <v>853</v>
      </c>
    </row>
    <row r="119" spans="1:3" x14ac:dyDescent="0.3">
      <c r="A119" t="s">
        <v>55</v>
      </c>
      <c r="B119" s="2">
        <v>46174</v>
      </c>
      <c r="C119" s="10"/>
    </row>
    <row r="120" spans="1:3" x14ac:dyDescent="0.3">
      <c r="A120" t="s">
        <v>55</v>
      </c>
      <c r="B120" s="2">
        <v>46204</v>
      </c>
      <c r="C120" s="10"/>
    </row>
    <row r="121" spans="1:3" x14ac:dyDescent="0.3">
      <c r="A121" t="s">
        <v>55</v>
      </c>
      <c r="B121" s="2">
        <v>46235</v>
      </c>
      <c r="C121" s="10"/>
    </row>
    <row r="122" spans="1:3" x14ac:dyDescent="0.3">
      <c r="A122" t="s">
        <v>60</v>
      </c>
      <c r="B122" s="2">
        <v>45536</v>
      </c>
      <c r="C122" s="10"/>
    </row>
    <row r="123" spans="1:3" x14ac:dyDescent="0.3">
      <c r="A123" t="s">
        <v>60</v>
      </c>
      <c r="B123" s="2">
        <v>45566</v>
      </c>
      <c r="C123" s="10"/>
    </row>
    <row r="124" spans="1:3" x14ac:dyDescent="0.3">
      <c r="A124" t="s">
        <v>60</v>
      </c>
      <c r="B124" s="2">
        <v>45597</v>
      </c>
      <c r="C124" s="10"/>
    </row>
    <row r="125" spans="1:3" x14ac:dyDescent="0.3">
      <c r="A125" t="s">
        <v>60</v>
      </c>
      <c r="B125" s="2">
        <v>45627</v>
      </c>
      <c r="C125" s="10"/>
    </row>
    <row r="126" spans="1:3" x14ac:dyDescent="0.3">
      <c r="A126" t="s">
        <v>60</v>
      </c>
      <c r="B126" s="2">
        <v>45658</v>
      </c>
      <c r="C126" s="10"/>
    </row>
    <row r="127" spans="1:3" ht="28.95" customHeight="1" x14ac:dyDescent="0.3">
      <c r="A127" t="s">
        <v>60</v>
      </c>
      <c r="B127" s="2">
        <v>45689</v>
      </c>
      <c r="C127" s="10" t="s">
        <v>329</v>
      </c>
    </row>
    <row r="128" spans="1:3" ht="57.6" customHeight="1" x14ac:dyDescent="0.3">
      <c r="A128" t="s">
        <v>60</v>
      </c>
      <c r="B128" s="2">
        <v>45717</v>
      </c>
      <c r="C128" s="10" t="s">
        <v>330</v>
      </c>
    </row>
    <row r="129" spans="1:3" ht="86.4" customHeight="1" x14ac:dyDescent="0.3">
      <c r="A129" t="s">
        <v>60</v>
      </c>
      <c r="B129" s="2">
        <v>45748</v>
      </c>
      <c r="C129" s="10" t="s">
        <v>331</v>
      </c>
    </row>
    <row r="130" spans="1:3" ht="72" customHeight="1" x14ac:dyDescent="0.3">
      <c r="A130" t="s">
        <v>60</v>
      </c>
      <c r="B130" s="2">
        <v>45778</v>
      </c>
      <c r="C130" s="10" t="s">
        <v>332</v>
      </c>
    </row>
    <row r="131" spans="1:3" ht="72" customHeight="1" x14ac:dyDescent="0.3">
      <c r="A131" t="s">
        <v>60</v>
      </c>
      <c r="B131" s="2">
        <v>45809</v>
      </c>
      <c r="C131" s="10" t="s">
        <v>333</v>
      </c>
    </row>
    <row r="132" spans="1:3" ht="72" customHeight="1" x14ac:dyDescent="0.3">
      <c r="A132" t="s">
        <v>60</v>
      </c>
      <c r="B132" s="2">
        <v>45839</v>
      </c>
      <c r="C132" s="10" t="s">
        <v>334</v>
      </c>
    </row>
    <row r="133" spans="1:3" ht="72" customHeight="1" x14ac:dyDescent="0.3">
      <c r="A133" t="s">
        <v>60</v>
      </c>
      <c r="B133" s="2">
        <v>45870</v>
      </c>
      <c r="C133" s="10" t="s">
        <v>335</v>
      </c>
    </row>
    <row r="134" spans="1:3" ht="57.6" customHeight="1" x14ac:dyDescent="0.3">
      <c r="A134" t="s">
        <v>60</v>
      </c>
      <c r="B134" s="2">
        <v>45901</v>
      </c>
      <c r="C134" s="10" t="s">
        <v>336</v>
      </c>
    </row>
    <row r="135" spans="1:3" ht="57.6" customHeight="1" x14ac:dyDescent="0.3">
      <c r="A135" t="s">
        <v>60</v>
      </c>
      <c r="B135" s="2">
        <v>45931</v>
      </c>
      <c r="C135" s="10" t="s">
        <v>337</v>
      </c>
    </row>
    <row r="136" spans="1:3" ht="57.6" customHeight="1" x14ac:dyDescent="0.3">
      <c r="A136" t="s">
        <v>60</v>
      </c>
      <c r="B136" s="2">
        <v>45962</v>
      </c>
      <c r="C136" s="10" t="s">
        <v>338</v>
      </c>
    </row>
    <row r="137" spans="1:3" x14ac:dyDescent="0.3">
      <c r="A137" t="s">
        <v>60</v>
      </c>
      <c r="B137" s="2">
        <v>45992</v>
      </c>
      <c r="C137" s="10" t="s">
        <v>327</v>
      </c>
    </row>
    <row r="138" spans="1:3" x14ac:dyDescent="0.3">
      <c r="A138" t="s">
        <v>60</v>
      </c>
      <c r="B138" s="2">
        <v>46023</v>
      </c>
      <c r="C138" s="10" t="s">
        <v>339</v>
      </c>
    </row>
    <row r="139" spans="1:3" x14ac:dyDescent="0.3">
      <c r="A139" t="s">
        <v>60</v>
      </c>
      <c r="B139" s="2">
        <v>46054</v>
      </c>
      <c r="C139" s="10" t="s">
        <v>327</v>
      </c>
    </row>
    <row r="140" spans="1:3" x14ac:dyDescent="0.3">
      <c r="A140" t="s">
        <v>60</v>
      </c>
      <c r="B140" s="2">
        <v>46082</v>
      </c>
      <c r="C140" s="10" t="s">
        <v>340</v>
      </c>
    </row>
    <row r="141" spans="1:3" x14ac:dyDescent="0.3">
      <c r="A141" t="s">
        <v>60</v>
      </c>
      <c r="B141" s="2">
        <v>46113</v>
      </c>
      <c r="C141" s="10" t="s">
        <v>340</v>
      </c>
    </row>
    <row r="142" spans="1:3" x14ac:dyDescent="0.3">
      <c r="A142" t="s">
        <v>60</v>
      </c>
      <c r="B142" s="2">
        <v>46143</v>
      </c>
      <c r="C142" s="10" t="s">
        <v>869</v>
      </c>
    </row>
    <row r="143" spans="1:3" x14ac:dyDescent="0.3">
      <c r="A143" t="s">
        <v>60</v>
      </c>
      <c r="B143" s="2">
        <v>46174</v>
      </c>
      <c r="C143" s="10"/>
    </row>
    <row r="144" spans="1:3" x14ac:dyDescent="0.3">
      <c r="A144" t="s">
        <v>60</v>
      </c>
      <c r="B144" s="2">
        <v>46204</v>
      </c>
      <c r="C144" s="10"/>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341</v>
      </c>
    </row>
    <row r="152" spans="1:3" ht="57.6" customHeight="1" x14ac:dyDescent="0.3">
      <c r="A152" t="s">
        <v>61</v>
      </c>
      <c r="B152" s="2">
        <v>45717</v>
      </c>
      <c r="C152" s="10" t="s">
        <v>342</v>
      </c>
    </row>
    <row r="153" spans="1:3" ht="28.95" customHeight="1" x14ac:dyDescent="0.3">
      <c r="A153" t="s">
        <v>61</v>
      </c>
      <c r="B153" s="2">
        <v>45748</v>
      </c>
      <c r="C153" s="10" t="s">
        <v>343</v>
      </c>
    </row>
    <row r="154" spans="1:3" ht="57.6" customHeight="1" x14ac:dyDescent="0.3">
      <c r="A154" t="s">
        <v>61</v>
      </c>
      <c r="B154" s="2">
        <v>45778</v>
      </c>
      <c r="C154" s="10" t="s">
        <v>344</v>
      </c>
    </row>
    <row r="155" spans="1:3" ht="72" customHeight="1" x14ac:dyDescent="0.3">
      <c r="A155" t="s">
        <v>61</v>
      </c>
      <c r="B155" s="2">
        <v>45809</v>
      </c>
      <c r="C155" s="10" t="s">
        <v>345</v>
      </c>
    </row>
    <row r="156" spans="1:3" ht="57.6" customHeight="1" x14ac:dyDescent="0.3">
      <c r="A156" t="s">
        <v>61</v>
      </c>
      <c r="B156" s="2">
        <v>45839</v>
      </c>
      <c r="C156" s="10" t="s">
        <v>346</v>
      </c>
    </row>
    <row r="157" spans="1:3" ht="72" customHeight="1" x14ac:dyDescent="0.3">
      <c r="A157" t="s">
        <v>61</v>
      </c>
      <c r="B157" s="2">
        <v>45870</v>
      </c>
      <c r="C157" s="10" t="s">
        <v>347</v>
      </c>
    </row>
    <row r="158" spans="1:3" ht="57.6" customHeight="1" x14ac:dyDescent="0.3">
      <c r="A158" t="s">
        <v>61</v>
      </c>
      <c r="B158" s="2">
        <v>45901</v>
      </c>
      <c r="C158" s="10" t="s">
        <v>348</v>
      </c>
    </row>
    <row r="159" spans="1:3" ht="57.6" customHeight="1" x14ac:dyDescent="0.3">
      <c r="A159" t="s">
        <v>61</v>
      </c>
      <c r="B159" s="2">
        <v>45931</v>
      </c>
      <c r="C159" s="10" t="s">
        <v>349</v>
      </c>
    </row>
    <row r="160" spans="1:3" ht="57.6" customHeight="1" x14ac:dyDescent="0.3">
      <c r="A160" t="s">
        <v>61</v>
      </c>
      <c r="B160" s="2">
        <v>45962</v>
      </c>
      <c r="C160" s="10" t="s">
        <v>350</v>
      </c>
    </row>
    <row r="161" spans="1:3" x14ac:dyDescent="0.3">
      <c r="A161" t="s">
        <v>61</v>
      </c>
      <c r="B161" s="2">
        <v>45992</v>
      </c>
      <c r="C161" s="10" t="s">
        <v>327</v>
      </c>
    </row>
    <row r="162" spans="1:3" x14ac:dyDescent="0.3">
      <c r="A162" t="s">
        <v>61</v>
      </c>
      <c r="B162" s="2">
        <v>46023</v>
      </c>
      <c r="C162" s="10" t="s">
        <v>339</v>
      </c>
    </row>
    <row r="163" spans="1:3" ht="43.2" x14ac:dyDescent="0.3">
      <c r="A163" t="s">
        <v>61</v>
      </c>
      <c r="B163" s="2">
        <v>46054</v>
      </c>
      <c r="C163" s="10" t="s">
        <v>315</v>
      </c>
    </row>
    <row r="164" spans="1:3" x14ac:dyDescent="0.3">
      <c r="A164" t="s">
        <v>61</v>
      </c>
      <c r="B164" s="2">
        <v>46082</v>
      </c>
      <c r="C164" s="10" t="s">
        <v>339</v>
      </c>
    </row>
    <row r="165" spans="1:3" x14ac:dyDescent="0.3">
      <c r="A165" t="s">
        <v>61</v>
      </c>
      <c r="B165" s="2">
        <v>46113</v>
      </c>
      <c r="C165" s="10" t="s">
        <v>303</v>
      </c>
    </row>
    <row r="166" spans="1:3" x14ac:dyDescent="0.3">
      <c r="A166" t="s">
        <v>61</v>
      </c>
      <c r="B166" s="2">
        <v>46143</v>
      </c>
      <c r="C166" s="10" t="s">
        <v>303</v>
      </c>
    </row>
    <row r="167" spans="1:3" x14ac:dyDescent="0.3">
      <c r="A167" t="s">
        <v>61</v>
      </c>
      <c r="B167" s="2">
        <v>46174</v>
      </c>
      <c r="C167" s="10"/>
    </row>
    <row r="168" spans="1:3" x14ac:dyDescent="0.3">
      <c r="A168" t="s">
        <v>61</v>
      </c>
      <c r="B168" s="2">
        <v>46204</v>
      </c>
      <c r="C168" s="10"/>
    </row>
    <row r="169" spans="1:3" x14ac:dyDescent="0.3">
      <c r="A169" t="s">
        <v>61</v>
      </c>
      <c r="B169" s="2">
        <v>46235</v>
      </c>
      <c r="C169" s="10"/>
    </row>
    <row r="170" spans="1:3" x14ac:dyDescent="0.3">
      <c r="A170" t="s">
        <v>66</v>
      </c>
      <c r="B170" s="2">
        <v>45536</v>
      </c>
      <c r="C170" s="10"/>
    </row>
    <row r="171" spans="1:3" x14ac:dyDescent="0.3">
      <c r="A171" t="s">
        <v>66</v>
      </c>
      <c r="B171" s="2">
        <v>45566</v>
      </c>
      <c r="C171" s="10"/>
    </row>
    <row r="172" spans="1:3" x14ac:dyDescent="0.3">
      <c r="A172" t="s">
        <v>66</v>
      </c>
      <c r="B172" s="2">
        <v>45597</v>
      </c>
      <c r="C172" s="10"/>
    </row>
    <row r="173" spans="1:3" x14ac:dyDescent="0.3">
      <c r="A173" t="s">
        <v>66</v>
      </c>
      <c r="B173" s="2">
        <v>45627</v>
      </c>
      <c r="C173" s="10"/>
    </row>
    <row r="174" spans="1:3" x14ac:dyDescent="0.3">
      <c r="A174" t="s">
        <v>66</v>
      </c>
      <c r="B174" s="2">
        <v>45658</v>
      </c>
      <c r="C174" s="10"/>
    </row>
    <row r="175" spans="1:3" ht="28.95" customHeight="1" x14ac:dyDescent="0.3">
      <c r="A175" t="s">
        <v>66</v>
      </c>
      <c r="B175" s="2">
        <v>45689</v>
      </c>
      <c r="C175" s="10" t="s">
        <v>351</v>
      </c>
    </row>
    <row r="176" spans="1:3" ht="28.95" customHeight="1" x14ac:dyDescent="0.3">
      <c r="A176" t="s">
        <v>66</v>
      </c>
      <c r="B176" s="2">
        <v>45717</v>
      </c>
      <c r="C176" s="10" t="s">
        <v>351</v>
      </c>
    </row>
    <row r="177" spans="1:3" ht="28.95" customHeight="1" x14ac:dyDescent="0.3">
      <c r="A177" t="s">
        <v>66</v>
      </c>
      <c r="B177" s="2">
        <v>45748</v>
      </c>
      <c r="C177" s="10" t="s">
        <v>351</v>
      </c>
    </row>
    <row r="178" spans="1:3" ht="28.95" customHeight="1" x14ac:dyDescent="0.3">
      <c r="A178" t="s">
        <v>66</v>
      </c>
      <c r="B178" s="2">
        <v>45778</v>
      </c>
      <c r="C178" s="10" t="s">
        <v>351</v>
      </c>
    </row>
    <row r="179" spans="1:3" ht="28.95" customHeight="1" x14ac:dyDescent="0.3">
      <c r="A179" t="s">
        <v>66</v>
      </c>
      <c r="B179" s="2">
        <v>45809</v>
      </c>
      <c r="C179" s="10" t="s">
        <v>351</v>
      </c>
    </row>
    <row r="180" spans="1:3" ht="28.95" customHeight="1" x14ac:dyDescent="0.3">
      <c r="A180" t="s">
        <v>66</v>
      </c>
      <c r="B180" s="2">
        <v>45839</v>
      </c>
      <c r="C180" s="10" t="s">
        <v>351</v>
      </c>
    </row>
    <row r="181" spans="1:3" ht="28.95" customHeight="1" x14ac:dyDescent="0.3">
      <c r="A181" t="s">
        <v>66</v>
      </c>
      <c r="B181" s="2">
        <v>45870</v>
      </c>
      <c r="C181" s="10" t="s">
        <v>351</v>
      </c>
    </row>
    <row r="182" spans="1:3" ht="28.95" customHeight="1" x14ac:dyDescent="0.3">
      <c r="A182" t="s">
        <v>66</v>
      </c>
      <c r="B182" s="2">
        <v>45901</v>
      </c>
      <c r="C182" s="10" t="s">
        <v>352</v>
      </c>
    </row>
    <row r="183" spans="1:3" ht="43.2" customHeight="1" x14ac:dyDescent="0.3">
      <c r="A183" t="s">
        <v>66</v>
      </c>
      <c r="B183" s="2">
        <v>45931</v>
      </c>
      <c r="C183" s="10" t="s">
        <v>353</v>
      </c>
    </row>
    <row r="184" spans="1:3" x14ac:dyDescent="0.3">
      <c r="A184" t="s">
        <v>66</v>
      </c>
      <c r="B184" s="2">
        <v>45962</v>
      </c>
      <c r="C184" s="10" t="s">
        <v>354</v>
      </c>
    </row>
    <row r="185" spans="1:3" x14ac:dyDescent="0.3">
      <c r="A185" t="s">
        <v>66</v>
      </c>
      <c r="B185" s="2">
        <v>45992</v>
      </c>
      <c r="C185" s="10" t="s">
        <v>354</v>
      </c>
    </row>
    <row r="186" spans="1:3" x14ac:dyDescent="0.3">
      <c r="A186" t="s">
        <v>66</v>
      </c>
      <c r="B186" s="2">
        <v>46023</v>
      </c>
      <c r="C186" s="10" t="s">
        <v>354</v>
      </c>
    </row>
    <row r="187" spans="1:3" x14ac:dyDescent="0.3">
      <c r="A187" t="s">
        <v>66</v>
      </c>
      <c r="B187" s="2">
        <v>46054</v>
      </c>
      <c r="C187" s="10" t="s">
        <v>354</v>
      </c>
    </row>
    <row r="188" spans="1:3" x14ac:dyDescent="0.3">
      <c r="A188" t="s">
        <v>66</v>
      </c>
      <c r="B188" s="2">
        <v>46082</v>
      </c>
      <c r="C188" s="10" t="s">
        <v>354</v>
      </c>
    </row>
    <row r="189" spans="1:3" x14ac:dyDescent="0.3">
      <c r="A189" t="s">
        <v>66</v>
      </c>
      <c r="B189" s="2">
        <v>46113</v>
      </c>
      <c r="C189" s="10" t="s">
        <v>354</v>
      </c>
    </row>
    <row r="190" spans="1:3" x14ac:dyDescent="0.3">
      <c r="A190" t="s">
        <v>66</v>
      </c>
      <c r="B190" s="2">
        <v>46143</v>
      </c>
      <c r="C190" s="10" t="s">
        <v>854</v>
      </c>
    </row>
    <row r="191" spans="1:3" x14ac:dyDescent="0.3">
      <c r="A191" t="s">
        <v>66</v>
      </c>
      <c r="B191" s="2">
        <v>46174</v>
      </c>
      <c r="C191" s="10"/>
    </row>
    <row r="192" spans="1:3" x14ac:dyDescent="0.3">
      <c r="A192" t="s">
        <v>66</v>
      </c>
      <c r="B192" s="2">
        <v>46204</v>
      </c>
      <c r="C192" s="10"/>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355</v>
      </c>
    </row>
    <row r="200" spans="1:3" ht="28.95" customHeight="1" x14ac:dyDescent="0.3">
      <c r="A200" t="s">
        <v>71</v>
      </c>
      <c r="B200" s="2">
        <v>45717</v>
      </c>
      <c r="C200" s="10" t="s">
        <v>356</v>
      </c>
    </row>
    <row r="201" spans="1:3" ht="28.95" customHeight="1" x14ac:dyDescent="0.3">
      <c r="A201" t="s">
        <v>71</v>
      </c>
      <c r="B201" s="2">
        <v>45748</v>
      </c>
      <c r="C201" s="10" t="s">
        <v>357</v>
      </c>
    </row>
    <row r="202" spans="1:3" ht="43.2" customHeight="1" x14ac:dyDescent="0.3">
      <c r="A202" t="s">
        <v>71</v>
      </c>
      <c r="B202" s="2">
        <v>45778</v>
      </c>
      <c r="C202" s="10" t="s">
        <v>358</v>
      </c>
    </row>
    <row r="203" spans="1:3" ht="72" customHeight="1" x14ac:dyDescent="0.3">
      <c r="A203" t="s">
        <v>71</v>
      </c>
      <c r="B203" s="2">
        <v>45809</v>
      </c>
      <c r="C203" s="10" t="s">
        <v>359</v>
      </c>
    </row>
    <row r="204" spans="1:3" ht="72" customHeight="1" x14ac:dyDescent="0.3">
      <c r="A204" t="s">
        <v>71</v>
      </c>
      <c r="B204" s="2">
        <v>45839</v>
      </c>
      <c r="C204" s="10" t="s">
        <v>360</v>
      </c>
    </row>
    <row r="205" spans="1:3" ht="72" customHeight="1" x14ac:dyDescent="0.3">
      <c r="A205" t="s">
        <v>71</v>
      </c>
      <c r="B205" s="2">
        <v>45870</v>
      </c>
      <c r="C205" s="10" t="s">
        <v>361</v>
      </c>
    </row>
    <row r="206" spans="1:3" ht="57.6" customHeight="1" x14ac:dyDescent="0.3">
      <c r="A206" t="s">
        <v>71</v>
      </c>
      <c r="B206" s="2">
        <v>45901</v>
      </c>
      <c r="C206" s="10" t="s">
        <v>362</v>
      </c>
    </row>
    <row r="207" spans="1:3" ht="57.6" customHeight="1" x14ac:dyDescent="0.3">
      <c r="A207" t="s">
        <v>71</v>
      </c>
      <c r="B207" s="2">
        <v>45931</v>
      </c>
      <c r="C207" s="10" t="s">
        <v>363</v>
      </c>
    </row>
    <row r="208" spans="1:3" ht="57.6" customHeight="1" x14ac:dyDescent="0.3">
      <c r="A208" t="s">
        <v>71</v>
      </c>
      <c r="B208" s="2">
        <v>45962</v>
      </c>
      <c r="C208" s="10" t="s">
        <v>364</v>
      </c>
    </row>
    <row r="209" spans="1:3" ht="28.8" x14ac:dyDescent="0.3">
      <c r="A209" t="s">
        <v>71</v>
      </c>
      <c r="B209" s="2">
        <v>45992</v>
      </c>
      <c r="C209" s="10" t="s">
        <v>365</v>
      </c>
    </row>
    <row r="210" spans="1:3" x14ac:dyDescent="0.3">
      <c r="A210" t="s">
        <v>71</v>
      </c>
      <c r="B210" s="2">
        <v>46023</v>
      </c>
      <c r="C210" s="10" t="s">
        <v>339</v>
      </c>
    </row>
    <row r="211" spans="1:3" x14ac:dyDescent="0.3">
      <c r="A211" t="s">
        <v>71</v>
      </c>
      <c r="B211" s="2">
        <v>46054</v>
      </c>
      <c r="C211" s="10" t="s">
        <v>327</v>
      </c>
    </row>
    <row r="212" spans="1:3" x14ac:dyDescent="0.3">
      <c r="A212" t="s">
        <v>71</v>
      </c>
      <c r="B212" s="2">
        <v>46082</v>
      </c>
      <c r="C212" s="10" t="s">
        <v>327</v>
      </c>
    </row>
    <row r="213" spans="1:3" x14ac:dyDescent="0.3">
      <c r="A213" t="s">
        <v>71</v>
      </c>
      <c r="B213" s="2">
        <v>46113</v>
      </c>
      <c r="C213" s="10" t="s">
        <v>303</v>
      </c>
    </row>
    <row r="214" spans="1:3" x14ac:dyDescent="0.3">
      <c r="A214" t="s">
        <v>71</v>
      </c>
      <c r="B214" s="2">
        <v>46143</v>
      </c>
      <c r="C214" s="10" t="s">
        <v>303</v>
      </c>
    </row>
    <row r="215" spans="1:3" x14ac:dyDescent="0.3">
      <c r="A215" t="s">
        <v>71</v>
      </c>
      <c r="B215" s="2">
        <v>46174</v>
      </c>
      <c r="C215" s="10"/>
    </row>
    <row r="216" spans="1:3" x14ac:dyDescent="0.3">
      <c r="A216" t="s">
        <v>71</v>
      </c>
      <c r="B216" s="2">
        <v>46204</v>
      </c>
      <c r="C216" s="10"/>
    </row>
    <row r="217" spans="1:3" x14ac:dyDescent="0.3">
      <c r="A217" t="s">
        <v>71</v>
      </c>
      <c r="B217" s="2">
        <v>46235</v>
      </c>
      <c r="C217" s="10"/>
    </row>
    <row r="218" spans="1:3" x14ac:dyDescent="0.3">
      <c r="A218" t="s">
        <v>77</v>
      </c>
      <c r="B218" s="2">
        <v>45536</v>
      </c>
      <c r="C218" s="10"/>
    </row>
    <row r="219" spans="1:3" x14ac:dyDescent="0.3">
      <c r="A219" t="s">
        <v>77</v>
      </c>
      <c r="B219" s="2">
        <v>45566</v>
      </c>
      <c r="C219" s="10"/>
    </row>
    <row r="220" spans="1:3" x14ac:dyDescent="0.3">
      <c r="A220" t="s">
        <v>77</v>
      </c>
      <c r="B220" s="2">
        <v>45597</v>
      </c>
      <c r="C220" s="10"/>
    </row>
    <row r="221" spans="1:3" x14ac:dyDescent="0.3">
      <c r="A221" t="s">
        <v>77</v>
      </c>
      <c r="B221" s="2">
        <v>45627</v>
      </c>
      <c r="C221" s="10"/>
    </row>
    <row r="222" spans="1:3" x14ac:dyDescent="0.3">
      <c r="A222" t="s">
        <v>77</v>
      </c>
      <c r="B222" s="2">
        <v>45658</v>
      </c>
      <c r="C222" s="10"/>
    </row>
    <row r="223" spans="1:3" x14ac:dyDescent="0.3">
      <c r="A223" t="s">
        <v>77</v>
      </c>
      <c r="B223" s="2">
        <v>45689</v>
      </c>
      <c r="C223" s="10" t="s">
        <v>366</v>
      </c>
    </row>
    <row r="224" spans="1:3" ht="28.95" customHeight="1" x14ac:dyDescent="0.3">
      <c r="A224" t="s">
        <v>77</v>
      </c>
      <c r="B224" s="2">
        <v>45717</v>
      </c>
      <c r="C224" s="10" t="s">
        <v>367</v>
      </c>
    </row>
    <row r="225" spans="1:3" ht="43.2" customHeight="1" x14ac:dyDescent="0.3">
      <c r="A225" t="s">
        <v>77</v>
      </c>
      <c r="B225" s="2">
        <v>45748</v>
      </c>
      <c r="C225" s="10" t="s">
        <v>368</v>
      </c>
    </row>
    <row r="226" spans="1:3" ht="57.6" customHeight="1" x14ac:dyDescent="0.3">
      <c r="A226" t="s">
        <v>77</v>
      </c>
      <c r="B226" s="2">
        <v>45778</v>
      </c>
      <c r="C226" s="10" t="s">
        <v>369</v>
      </c>
    </row>
    <row r="227" spans="1:3" ht="57.6" customHeight="1" x14ac:dyDescent="0.3">
      <c r="A227" t="s">
        <v>77</v>
      </c>
      <c r="B227" s="2">
        <v>45809</v>
      </c>
      <c r="C227" s="10" t="s">
        <v>370</v>
      </c>
    </row>
    <row r="228" spans="1:3" ht="43.2" customHeight="1" x14ac:dyDescent="0.3">
      <c r="A228" t="s">
        <v>77</v>
      </c>
      <c r="B228" s="2">
        <v>45839</v>
      </c>
      <c r="C228" s="10" t="s">
        <v>371</v>
      </c>
    </row>
    <row r="229" spans="1:3" ht="43.2" customHeight="1" x14ac:dyDescent="0.3">
      <c r="A229" t="s">
        <v>77</v>
      </c>
      <c r="B229" s="2">
        <v>45870</v>
      </c>
      <c r="C229" s="10" t="s">
        <v>372</v>
      </c>
    </row>
    <row r="230" spans="1:3" ht="43.2" customHeight="1" x14ac:dyDescent="0.3">
      <c r="A230" t="s">
        <v>77</v>
      </c>
      <c r="B230" s="2">
        <v>45901</v>
      </c>
      <c r="C230" s="10" t="s">
        <v>373</v>
      </c>
    </row>
    <row r="231" spans="1:3" ht="43.2" customHeight="1" x14ac:dyDescent="0.3">
      <c r="A231" t="s">
        <v>77</v>
      </c>
      <c r="B231" s="2">
        <v>45931</v>
      </c>
      <c r="C231" s="10" t="s">
        <v>374</v>
      </c>
    </row>
    <row r="232" spans="1:3" ht="43.2" customHeight="1" x14ac:dyDescent="0.3">
      <c r="A232" t="s">
        <v>77</v>
      </c>
      <c r="B232" s="2">
        <v>45962</v>
      </c>
      <c r="C232" s="10" t="s">
        <v>375</v>
      </c>
    </row>
    <row r="233" spans="1:3" x14ac:dyDescent="0.3">
      <c r="A233" t="s">
        <v>77</v>
      </c>
      <c r="B233" s="2">
        <v>45992</v>
      </c>
      <c r="C233" s="10" t="s">
        <v>327</v>
      </c>
    </row>
    <row r="234" spans="1:3" x14ac:dyDescent="0.3">
      <c r="A234" t="s">
        <v>77</v>
      </c>
      <c r="B234" s="2">
        <v>46023</v>
      </c>
      <c r="C234" s="10" t="s">
        <v>376</v>
      </c>
    </row>
    <row r="235" spans="1:3" x14ac:dyDescent="0.3">
      <c r="A235" t="s">
        <v>77</v>
      </c>
      <c r="B235" s="2">
        <v>46054</v>
      </c>
      <c r="C235" s="10" t="s">
        <v>327</v>
      </c>
    </row>
    <row r="236" spans="1:3" x14ac:dyDescent="0.3">
      <c r="A236" t="s">
        <v>77</v>
      </c>
      <c r="B236" s="2">
        <v>46082</v>
      </c>
      <c r="C236" s="10" t="s">
        <v>327</v>
      </c>
    </row>
    <row r="237" spans="1:3" x14ac:dyDescent="0.3">
      <c r="A237" t="s">
        <v>77</v>
      </c>
      <c r="B237" s="2">
        <v>46113</v>
      </c>
      <c r="C237" s="10" t="s">
        <v>303</v>
      </c>
    </row>
    <row r="238" spans="1:3" x14ac:dyDescent="0.3">
      <c r="A238" t="s">
        <v>77</v>
      </c>
      <c r="B238" s="2">
        <v>46143</v>
      </c>
      <c r="C238" s="10" t="s">
        <v>303</v>
      </c>
    </row>
    <row r="239" spans="1:3" x14ac:dyDescent="0.3">
      <c r="A239" t="s">
        <v>77</v>
      </c>
      <c r="B239" s="2">
        <v>46174</v>
      </c>
      <c r="C239" s="10"/>
    </row>
    <row r="240" spans="1:3" x14ac:dyDescent="0.3">
      <c r="A240" t="s">
        <v>77</v>
      </c>
      <c r="B240" s="2">
        <v>46204</v>
      </c>
      <c r="C240" s="10"/>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366</v>
      </c>
    </row>
    <row r="248" spans="1:3" ht="28.95" customHeight="1" x14ac:dyDescent="0.3">
      <c r="A248" t="s">
        <v>80</v>
      </c>
      <c r="B248" s="2">
        <v>45717</v>
      </c>
      <c r="C248" s="10" t="s">
        <v>377</v>
      </c>
    </row>
    <row r="249" spans="1:3" ht="43.2" customHeight="1" x14ac:dyDescent="0.3">
      <c r="A249" t="s">
        <v>80</v>
      </c>
      <c r="B249" s="2">
        <v>45748</v>
      </c>
      <c r="C249" s="10" t="s">
        <v>378</v>
      </c>
    </row>
    <row r="250" spans="1:3" ht="57.6" customHeight="1" x14ac:dyDescent="0.3">
      <c r="A250" t="s">
        <v>80</v>
      </c>
      <c r="B250" s="2">
        <v>45778</v>
      </c>
      <c r="C250" s="10" t="s">
        <v>379</v>
      </c>
    </row>
    <row r="251" spans="1:3" ht="57.6" customHeight="1" x14ac:dyDescent="0.3">
      <c r="A251" t="s">
        <v>80</v>
      </c>
      <c r="B251" s="2">
        <v>45809</v>
      </c>
      <c r="C251" s="10" t="s">
        <v>380</v>
      </c>
    </row>
    <row r="252" spans="1:3" ht="43.2" customHeight="1" x14ac:dyDescent="0.3">
      <c r="A252" t="s">
        <v>80</v>
      </c>
      <c r="B252" s="2">
        <v>45839</v>
      </c>
      <c r="C252" s="10" t="s">
        <v>381</v>
      </c>
    </row>
    <row r="253" spans="1:3" ht="43.2" customHeight="1" x14ac:dyDescent="0.3">
      <c r="A253" t="s">
        <v>80</v>
      </c>
      <c r="B253" s="2">
        <v>45870</v>
      </c>
      <c r="C253" s="10" t="s">
        <v>382</v>
      </c>
    </row>
    <row r="254" spans="1:3" ht="43.2" customHeight="1" x14ac:dyDescent="0.3">
      <c r="A254" t="s">
        <v>80</v>
      </c>
      <c r="B254" s="2">
        <v>45901</v>
      </c>
      <c r="C254" s="10" t="s">
        <v>383</v>
      </c>
    </row>
    <row r="255" spans="1:3" ht="43.2" customHeight="1" x14ac:dyDescent="0.3">
      <c r="A255" t="s">
        <v>80</v>
      </c>
      <c r="B255" s="2">
        <v>45931</v>
      </c>
      <c r="C255" s="10" t="s">
        <v>384</v>
      </c>
    </row>
    <row r="256" spans="1:3" ht="57.6" customHeight="1" x14ac:dyDescent="0.3">
      <c r="A256" t="s">
        <v>80</v>
      </c>
      <c r="B256" s="2">
        <v>45962</v>
      </c>
      <c r="C256" s="10" t="s">
        <v>385</v>
      </c>
    </row>
    <row r="257" spans="1:3" x14ac:dyDescent="0.3">
      <c r="A257" t="s">
        <v>80</v>
      </c>
      <c r="B257" s="2">
        <v>45992</v>
      </c>
      <c r="C257" s="10" t="s">
        <v>386</v>
      </c>
    </row>
    <row r="258" spans="1:3" x14ac:dyDescent="0.3">
      <c r="A258" t="s">
        <v>80</v>
      </c>
      <c r="B258" s="2">
        <v>46023</v>
      </c>
      <c r="C258" s="10" t="s">
        <v>376</v>
      </c>
    </row>
    <row r="259" spans="1:3" x14ac:dyDescent="0.3">
      <c r="A259" t="s">
        <v>80</v>
      </c>
      <c r="B259" s="2">
        <v>46054</v>
      </c>
      <c r="C259" s="10" t="s">
        <v>327</v>
      </c>
    </row>
    <row r="260" spans="1:3" ht="28.8" x14ac:dyDescent="0.3">
      <c r="A260" t="s">
        <v>80</v>
      </c>
      <c r="B260" s="2">
        <v>46082</v>
      </c>
      <c r="C260" s="10" t="s">
        <v>387</v>
      </c>
    </row>
    <row r="261" spans="1:3" x14ac:dyDescent="0.3">
      <c r="A261" t="s">
        <v>80</v>
      </c>
      <c r="B261" s="2">
        <v>46113</v>
      </c>
      <c r="C261" s="10" t="s">
        <v>303</v>
      </c>
    </row>
    <row r="262" spans="1:3" x14ac:dyDescent="0.3">
      <c r="A262" t="s">
        <v>80</v>
      </c>
      <c r="B262" s="2">
        <v>46143</v>
      </c>
      <c r="C262" s="10" t="s">
        <v>303</v>
      </c>
    </row>
    <row r="263" spans="1:3" x14ac:dyDescent="0.3">
      <c r="A263" t="s">
        <v>80</v>
      </c>
      <c r="B263" s="2">
        <v>46174</v>
      </c>
      <c r="C263" s="10"/>
    </row>
    <row r="264" spans="1:3" x14ac:dyDescent="0.3">
      <c r="A264" t="s">
        <v>80</v>
      </c>
      <c r="B264" s="2">
        <v>46204</v>
      </c>
      <c r="C264" s="10"/>
    </row>
    <row r="265" spans="1:3" x14ac:dyDescent="0.3">
      <c r="A265" t="s">
        <v>80</v>
      </c>
      <c r="B265" s="2">
        <v>46235</v>
      </c>
      <c r="C265" s="10"/>
    </row>
    <row r="266" spans="1:3" x14ac:dyDescent="0.3">
      <c r="A266" t="s">
        <v>81</v>
      </c>
      <c r="B266" s="2">
        <v>45536</v>
      </c>
      <c r="C266" s="10"/>
    </row>
    <row r="267" spans="1:3" x14ac:dyDescent="0.3">
      <c r="A267" t="s">
        <v>81</v>
      </c>
      <c r="B267" s="2">
        <v>45566</v>
      </c>
      <c r="C267" s="10"/>
    </row>
    <row r="268" spans="1:3" x14ac:dyDescent="0.3">
      <c r="A268" t="s">
        <v>81</v>
      </c>
      <c r="B268" s="2">
        <v>45597</v>
      </c>
      <c r="C268" s="10"/>
    </row>
    <row r="269" spans="1:3" x14ac:dyDescent="0.3">
      <c r="A269" t="s">
        <v>81</v>
      </c>
      <c r="B269" s="2">
        <v>45627</v>
      </c>
      <c r="C269" s="10"/>
    </row>
    <row r="270" spans="1:3" x14ac:dyDescent="0.3">
      <c r="A270" t="s">
        <v>81</v>
      </c>
      <c r="B270" s="2">
        <v>45658</v>
      </c>
      <c r="C270" s="10"/>
    </row>
    <row r="271" spans="1:3" ht="28.95" customHeight="1" x14ac:dyDescent="0.3">
      <c r="A271" t="s">
        <v>81</v>
      </c>
      <c r="B271" s="2">
        <v>45689</v>
      </c>
      <c r="C271" s="10" t="s">
        <v>388</v>
      </c>
    </row>
    <row r="272" spans="1:3" ht="28.95" customHeight="1" x14ac:dyDescent="0.3">
      <c r="A272" t="s">
        <v>81</v>
      </c>
      <c r="B272" s="2">
        <v>45717</v>
      </c>
      <c r="C272" s="10" t="s">
        <v>389</v>
      </c>
    </row>
    <row r="273" spans="1:8" ht="28.95" customHeight="1" x14ac:dyDescent="0.3">
      <c r="A273" t="s">
        <v>81</v>
      </c>
      <c r="B273" s="2">
        <v>45748</v>
      </c>
      <c r="C273" s="10" t="s">
        <v>389</v>
      </c>
    </row>
    <row r="274" spans="1:8" ht="72" customHeight="1" x14ac:dyDescent="0.3">
      <c r="A274" t="s">
        <v>81</v>
      </c>
      <c r="B274" s="2">
        <v>45778</v>
      </c>
      <c r="C274" s="10" t="s">
        <v>390</v>
      </c>
    </row>
    <row r="275" spans="1:8" ht="43.2" customHeight="1" x14ac:dyDescent="0.3">
      <c r="A275" t="s">
        <v>81</v>
      </c>
      <c r="B275" s="2">
        <v>45809</v>
      </c>
      <c r="C275" s="10" t="s">
        <v>391</v>
      </c>
    </row>
    <row r="276" spans="1:8" x14ac:dyDescent="0.3">
      <c r="A276" t="s">
        <v>81</v>
      </c>
      <c r="B276" s="2">
        <v>45839</v>
      </c>
      <c r="C276" t="s">
        <v>912</v>
      </c>
      <c r="G276" s="10" t="s">
        <v>972</v>
      </c>
      <c r="H276" t="s">
        <v>36</v>
      </c>
    </row>
    <row r="277" spans="1:8" x14ac:dyDescent="0.3">
      <c r="A277" t="s">
        <v>81</v>
      </c>
      <c r="B277" s="2">
        <v>45870</v>
      </c>
      <c r="C277" t="s">
        <v>912</v>
      </c>
      <c r="D277">
        <v>0</v>
      </c>
      <c r="E277" t="s">
        <v>33</v>
      </c>
      <c r="F277" t="s">
        <v>33</v>
      </c>
      <c r="G277" s="10" t="s">
        <v>972</v>
      </c>
      <c r="H277" t="s">
        <v>36</v>
      </c>
    </row>
    <row r="278" spans="1:8" ht="28.8" x14ac:dyDescent="0.3">
      <c r="A278" t="s">
        <v>81</v>
      </c>
      <c r="B278" s="2">
        <v>45901</v>
      </c>
      <c r="C278" t="s">
        <v>920</v>
      </c>
      <c r="D278">
        <v>0</v>
      </c>
      <c r="E278" t="s">
        <v>33</v>
      </c>
      <c r="F278" t="s">
        <v>33</v>
      </c>
      <c r="G278" s="21" t="s">
        <v>933</v>
      </c>
      <c r="H278" t="s">
        <v>36</v>
      </c>
    </row>
    <row r="279" spans="1:8" ht="28.8" x14ac:dyDescent="0.3">
      <c r="A279" t="s">
        <v>81</v>
      </c>
      <c r="B279" s="2">
        <v>45931</v>
      </c>
      <c r="C279" t="s">
        <v>912</v>
      </c>
      <c r="D279">
        <v>0</v>
      </c>
      <c r="E279" t="s">
        <v>33</v>
      </c>
      <c r="F279" t="s">
        <v>33</v>
      </c>
      <c r="G279" s="21" t="s">
        <v>933</v>
      </c>
      <c r="H279" t="s">
        <v>36</v>
      </c>
    </row>
    <row r="280" spans="1:8" ht="57.6" customHeight="1" x14ac:dyDescent="0.3">
      <c r="A280" t="s">
        <v>81</v>
      </c>
      <c r="B280" s="2">
        <v>45962</v>
      </c>
      <c r="C280" t="s">
        <v>920</v>
      </c>
      <c r="D280">
        <v>0</v>
      </c>
      <c r="E280" t="s">
        <v>33</v>
      </c>
      <c r="F280" t="s">
        <v>33</v>
      </c>
      <c r="G280" s="21" t="s">
        <v>933</v>
      </c>
      <c r="H280" t="s">
        <v>36</v>
      </c>
    </row>
    <row r="281" spans="1:8" x14ac:dyDescent="0.3">
      <c r="A281" t="s">
        <v>81</v>
      </c>
      <c r="B281" s="2">
        <v>45992</v>
      </c>
      <c r="C281" t="s">
        <v>912</v>
      </c>
      <c r="D281">
        <v>0</v>
      </c>
      <c r="E281" t="s">
        <v>33</v>
      </c>
      <c r="F281" t="s">
        <v>33</v>
      </c>
      <c r="G281" s="10" t="s">
        <v>972</v>
      </c>
      <c r="H281" t="s">
        <v>36</v>
      </c>
    </row>
    <row r="282" spans="1:8" ht="28.8" x14ac:dyDescent="0.3">
      <c r="A282" t="s">
        <v>81</v>
      </c>
      <c r="B282" s="2">
        <v>46023</v>
      </c>
      <c r="C282" t="s">
        <v>912</v>
      </c>
      <c r="D282">
        <v>0</v>
      </c>
      <c r="E282" t="s">
        <v>33</v>
      </c>
      <c r="F282" t="s">
        <v>33</v>
      </c>
      <c r="G282" s="21" t="s">
        <v>933</v>
      </c>
      <c r="H282" t="s">
        <v>36</v>
      </c>
    </row>
    <row r="283" spans="1:8" ht="57.6" x14ac:dyDescent="0.3">
      <c r="A283" t="s">
        <v>81</v>
      </c>
      <c r="B283" s="2">
        <v>46054</v>
      </c>
      <c r="C283" t="s">
        <v>896</v>
      </c>
      <c r="D283">
        <v>0</v>
      </c>
      <c r="E283" t="s">
        <v>33</v>
      </c>
      <c r="F283" t="s">
        <v>979</v>
      </c>
      <c r="G283" s="10" t="s">
        <v>980</v>
      </c>
      <c r="H283" t="s">
        <v>36</v>
      </c>
    </row>
    <row r="284" spans="1:8" ht="57.6" x14ac:dyDescent="0.3">
      <c r="A284" t="s">
        <v>81</v>
      </c>
      <c r="B284" s="2">
        <v>46082</v>
      </c>
      <c r="C284" t="s">
        <v>912</v>
      </c>
      <c r="D284">
        <v>0</v>
      </c>
      <c r="E284" t="s">
        <v>33</v>
      </c>
      <c r="F284" t="s">
        <v>979</v>
      </c>
      <c r="G284" s="10" t="s">
        <v>980</v>
      </c>
      <c r="H284" t="s">
        <v>36</v>
      </c>
    </row>
    <row r="285" spans="1:8" x14ac:dyDescent="0.3">
      <c r="A285" t="s">
        <v>81</v>
      </c>
      <c r="B285" s="2">
        <v>46113</v>
      </c>
      <c r="C285" t="s">
        <v>920</v>
      </c>
      <c r="D285">
        <v>0</v>
      </c>
      <c r="E285" t="s">
        <v>33</v>
      </c>
      <c r="F285" t="s">
        <v>33</v>
      </c>
      <c r="G285" s="10" t="s">
        <v>972</v>
      </c>
      <c r="H285" t="s">
        <v>36</v>
      </c>
    </row>
    <row r="286" spans="1:8" x14ac:dyDescent="0.3">
      <c r="A286" t="s">
        <v>81</v>
      </c>
      <c r="B286" s="2">
        <v>46143</v>
      </c>
      <c r="C286" t="s">
        <v>912</v>
      </c>
      <c r="D286">
        <v>0</v>
      </c>
      <c r="E286" t="s">
        <v>33</v>
      </c>
      <c r="F286" t="s">
        <v>33</v>
      </c>
      <c r="G286" s="10" t="s">
        <v>972</v>
      </c>
      <c r="H286" t="s">
        <v>36</v>
      </c>
    </row>
    <row r="287" spans="1:8" x14ac:dyDescent="0.3">
      <c r="A287" t="s">
        <v>81</v>
      </c>
      <c r="B287" s="2">
        <v>46174</v>
      </c>
      <c r="C287" t="s">
        <v>920</v>
      </c>
      <c r="D287">
        <v>0</v>
      </c>
      <c r="E287" t="s">
        <v>33</v>
      </c>
      <c r="F287" t="s">
        <v>33</v>
      </c>
      <c r="G287" s="10" t="s">
        <v>972</v>
      </c>
      <c r="H287" t="s">
        <v>36</v>
      </c>
    </row>
    <row r="288" spans="1:8" x14ac:dyDescent="0.3">
      <c r="A288" t="s">
        <v>81</v>
      </c>
      <c r="B288" s="2">
        <v>46204</v>
      </c>
      <c r="C288" s="10"/>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392</v>
      </c>
    </row>
    <row r="296" spans="1:3" ht="86.4" customHeight="1" x14ac:dyDescent="0.3">
      <c r="A296" t="s">
        <v>85</v>
      </c>
      <c r="B296" s="2">
        <v>45717</v>
      </c>
      <c r="C296" s="10" t="s">
        <v>393</v>
      </c>
    </row>
    <row r="297" spans="1:3" ht="57.6" customHeight="1" x14ac:dyDescent="0.3">
      <c r="A297" t="s">
        <v>85</v>
      </c>
      <c r="B297" s="2">
        <v>45748</v>
      </c>
      <c r="C297" s="10" t="s">
        <v>394</v>
      </c>
    </row>
    <row r="298" spans="1:3" ht="57.6" customHeight="1" x14ac:dyDescent="0.3">
      <c r="A298" t="s">
        <v>85</v>
      </c>
      <c r="B298" s="2">
        <v>45778</v>
      </c>
      <c r="C298" s="10" t="s">
        <v>395</v>
      </c>
    </row>
    <row r="299" spans="1:3" ht="57.6" customHeight="1" x14ac:dyDescent="0.3">
      <c r="A299" t="s">
        <v>85</v>
      </c>
      <c r="B299" s="2">
        <v>45809</v>
      </c>
      <c r="C299" s="10" t="s">
        <v>396</v>
      </c>
    </row>
    <row r="300" spans="1:3" ht="57.6" customHeight="1" x14ac:dyDescent="0.3">
      <c r="A300" t="s">
        <v>85</v>
      </c>
      <c r="B300" s="2">
        <v>45839</v>
      </c>
      <c r="C300" s="10" t="s">
        <v>397</v>
      </c>
    </row>
    <row r="301" spans="1:3" ht="72" customHeight="1" x14ac:dyDescent="0.3">
      <c r="A301" t="s">
        <v>85</v>
      </c>
      <c r="B301" s="2">
        <v>45870</v>
      </c>
      <c r="C301" s="10" t="s">
        <v>398</v>
      </c>
    </row>
    <row r="302" spans="1:3" ht="57.6" customHeight="1" x14ac:dyDescent="0.3">
      <c r="A302" t="s">
        <v>85</v>
      </c>
      <c r="B302" s="2">
        <v>45901</v>
      </c>
      <c r="C302" s="10" t="s">
        <v>399</v>
      </c>
    </row>
    <row r="303" spans="1:3" ht="57.6" customHeight="1" x14ac:dyDescent="0.3">
      <c r="A303" t="s">
        <v>85</v>
      </c>
      <c r="B303" s="2">
        <v>45931</v>
      </c>
      <c r="C303" s="10" t="s">
        <v>400</v>
      </c>
    </row>
    <row r="304" spans="1:3" ht="72" customHeight="1" x14ac:dyDescent="0.3">
      <c r="A304" t="s">
        <v>85</v>
      </c>
      <c r="B304" s="2">
        <v>45962</v>
      </c>
      <c r="C304" s="10" t="s">
        <v>401</v>
      </c>
    </row>
    <row r="305" spans="1:3" ht="28.8" x14ac:dyDescent="0.3">
      <c r="A305" t="s">
        <v>85</v>
      </c>
      <c r="B305" s="2">
        <v>45992</v>
      </c>
      <c r="C305" s="10" t="s">
        <v>402</v>
      </c>
    </row>
    <row r="306" spans="1:3" ht="28.8" x14ac:dyDescent="0.3">
      <c r="A306" t="s">
        <v>85</v>
      </c>
      <c r="B306" s="2">
        <v>46023</v>
      </c>
      <c r="C306" s="10" t="s">
        <v>402</v>
      </c>
    </row>
    <row r="307" spans="1:3" ht="28.8" x14ac:dyDescent="0.3">
      <c r="A307" t="s">
        <v>85</v>
      </c>
      <c r="B307" s="2">
        <v>46054</v>
      </c>
      <c r="C307" s="10" t="s">
        <v>402</v>
      </c>
    </row>
    <row r="308" spans="1:3" ht="28.8" x14ac:dyDescent="0.3">
      <c r="A308" t="s">
        <v>85</v>
      </c>
      <c r="B308" s="2">
        <v>46082</v>
      </c>
      <c r="C308" s="10" t="s">
        <v>403</v>
      </c>
    </row>
    <row r="309" spans="1:3" ht="28.95" customHeight="1" x14ac:dyDescent="0.3">
      <c r="A309" t="s">
        <v>85</v>
      </c>
      <c r="B309" s="2">
        <v>46113</v>
      </c>
      <c r="C309" s="10" t="s">
        <v>404</v>
      </c>
    </row>
    <row r="310" spans="1:3" x14ac:dyDescent="0.3">
      <c r="A310" t="s">
        <v>85</v>
      </c>
      <c r="B310" s="2">
        <v>46143</v>
      </c>
      <c r="C310" s="10" t="s">
        <v>853</v>
      </c>
    </row>
    <row r="311" spans="1:3" x14ac:dyDescent="0.3">
      <c r="A311" t="s">
        <v>85</v>
      </c>
      <c r="B311" s="2">
        <v>46174</v>
      </c>
      <c r="C311" s="10"/>
    </row>
    <row r="312" spans="1:3" x14ac:dyDescent="0.3">
      <c r="A312" t="s">
        <v>85</v>
      </c>
      <c r="B312" s="2">
        <v>46204</v>
      </c>
      <c r="C312" s="10"/>
    </row>
    <row r="313" spans="1:3" x14ac:dyDescent="0.3">
      <c r="A313" t="s">
        <v>85</v>
      </c>
      <c r="B313" s="2">
        <v>46235</v>
      </c>
      <c r="C313" s="10"/>
    </row>
    <row r="314" spans="1:3" x14ac:dyDescent="0.3">
      <c r="A314" t="s">
        <v>90</v>
      </c>
      <c r="B314" s="2">
        <v>45536</v>
      </c>
      <c r="C314" s="10"/>
    </row>
    <row r="315" spans="1:3" x14ac:dyDescent="0.3">
      <c r="A315" t="s">
        <v>90</v>
      </c>
      <c r="B315" s="2">
        <v>45566</v>
      </c>
      <c r="C315" s="10"/>
    </row>
    <row r="316" spans="1:3" x14ac:dyDescent="0.3">
      <c r="A316" t="s">
        <v>90</v>
      </c>
      <c r="B316" s="2">
        <v>45597</v>
      </c>
      <c r="C316" s="10"/>
    </row>
    <row r="317" spans="1:3" x14ac:dyDescent="0.3">
      <c r="A317" t="s">
        <v>90</v>
      </c>
      <c r="B317" s="2">
        <v>45627</v>
      </c>
      <c r="C317" s="10"/>
    </row>
    <row r="318" spans="1:3" x14ac:dyDescent="0.3">
      <c r="A318" t="s">
        <v>90</v>
      </c>
      <c r="B318" s="2">
        <v>45658</v>
      </c>
      <c r="C318" s="10"/>
    </row>
    <row r="319" spans="1:3" ht="72" customHeight="1" x14ac:dyDescent="0.3">
      <c r="A319" t="s">
        <v>90</v>
      </c>
      <c r="B319" s="2">
        <v>45689</v>
      </c>
      <c r="C319" s="10" t="s">
        <v>405</v>
      </c>
    </row>
    <row r="320" spans="1:3" ht="86.4" customHeight="1" x14ac:dyDescent="0.3">
      <c r="A320" t="s">
        <v>90</v>
      </c>
      <c r="B320" s="2">
        <v>45717</v>
      </c>
      <c r="C320" s="10" t="s">
        <v>406</v>
      </c>
    </row>
    <row r="321" spans="1:3" ht="57.6" customHeight="1" x14ac:dyDescent="0.3">
      <c r="A321" t="s">
        <v>90</v>
      </c>
      <c r="B321" s="2">
        <v>45748</v>
      </c>
      <c r="C321" s="10" t="s">
        <v>407</v>
      </c>
    </row>
    <row r="322" spans="1:3" ht="57.6" customHeight="1" x14ac:dyDescent="0.3">
      <c r="A322" t="s">
        <v>90</v>
      </c>
      <c r="B322" s="2">
        <v>45778</v>
      </c>
      <c r="C322" s="10" t="s">
        <v>408</v>
      </c>
    </row>
    <row r="323" spans="1:3" ht="57.6" customHeight="1" x14ac:dyDescent="0.3">
      <c r="A323" t="s">
        <v>90</v>
      </c>
      <c r="B323" s="2">
        <v>45809</v>
      </c>
      <c r="C323" s="10" t="s">
        <v>409</v>
      </c>
    </row>
    <row r="324" spans="1:3" ht="57.6" customHeight="1" x14ac:dyDescent="0.3">
      <c r="A324" t="s">
        <v>90</v>
      </c>
      <c r="B324" s="2">
        <v>45839</v>
      </c>
      <c r="C324" s="10" t="s">
        <v>410</v>
      </c>
    </row>
    <row r="325" spans="1:3" ht="57.6" customHeight="1" x14ac:dyDescent="0.3">
      <c r="A325" t="s">
        <v>90</v>
      </c>
      <c r="B325" s="2">
        <v>45870</v>
      </c>
      <c r="C325" s="10" t="s">
        <v>411</v>
      </c>
    </row>
    <row r="326" spans="1:3" ht="57.6" customHeight="1" x14ac:dyDescent="0.3">
      <c r="A326" t="s">
        <v>90</v>
      </c>
      <c r="B326" s="2">
        <v>45901</v>
      </c>
      <c r="C326" s="10" t="s">
        <v>412</v>
      </c>
    </row>
    <row r="327" spans="1:3" ht="57.6" customHeight="1" x14ac:dyDescent="0.3">
      <c r="A327" t="s">
        <v>90</v>
      </c>
      <c r="B327" s="2">
        <v>45931</v>
      </c>
      <c r="C327" s="10" t="s">
        <v>413</v>
      </c>
    </row>
    <row r="328" spans="1:3" ht="57.6" customHeight="1" x14ac:dyDescent="0.3">
      <c r="A328" t="s">
        <v>90</v>
      </c>
      <c r="B328" s="2">
        <v>45962</v>
      </c>
      <c r="C328" s="10" t="s">
        <v>414</v>
      </c>
    </row>
    <row r="329" spans="1:3" x14ac:dyDescent="0.3">
      <c r="A329" t="s">
        <v>90</v>
      </c>
      <c r="B329" s="2">
        <v>45992</v>
      </c>
      <c r="C329" s="10" t="s">
        <v>327</v>
      </c>
    </row>
    <row r="330" spans="1:3" x14ac:dyDescent="0.3">
      <c r="A330" t="s">
        <v>90</v>
      </c>
      <c r="B330" s="2">
        <v>46023</v>
      </c>
      <c r="C330" s="10" t="s">
        <v>339</v>
      </c>
    </row>
    <row r="331" spans="1:3" x14ac:dyDescent="0.3">
      <c r="A331" t="s">
        <v>90</v>
      </c>
      <c r="B331" s="2">
        <v>46054</v>
      </c>
      <c r="C331" s="10" t="s">
        <v>327</v>
      </c>
    </row>
    <row r="332" spans="1:3" x14ac:dyDescent="0.3">
      <c r="A332" t="s">
        <v>90</v>
      </c>
      <c r="B332" s="2">
        <v>46082</v>
      </c>
      <c r="C332" s="10" t="s">
        <v>327</v>
      </c>
    </row>
    <row r="333" spans="1:3" x14ac:dyDescent="0.3">
      <c r="A333" t="s">
        <v>90</v>
      </c>
      <c r="B333" s="2">
        <v>46113</v>
      </c>
      <c r="C333" s="10" t="s">
        <v>303</v>
      </c>
    </row>
    <row r="334" spans="1:3" x14ac:dyDescent="0.3">
      <c r="A334" t="s">
        <v>90</v>
      </c>
      <c r="B334" s="2">
        <v>46143</v>
      </c>
      <c r="C334" s="10" t="s">
        <v>303</v>
      </c>
    </row>
    <row r="335" spans="1:3" x14ac:dyDescent="0.3">
      <c r="A335" t="s">
        <v>90</v>
      </c>
      <c r="B335" s="2">
        <v>46174</v>
      </c>
      <c r="C335" s="10"/>
    </row>
    <row r="336" spans="1:3" x14ac:dyDescent="0.3">
      <c r="A336" t="s">
        <v>90</v>
      </c>
      <c r="B336" s="2">
        <v>46204</v>
      </c>
      <c r="C336" s="10"/>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415</v>
      </c>
    </row>
    <row r="353" spans="1:3" x14ac:dyDescent="0.3">
      <c r="A353" t="s">
        <v>93</v>
      </c>
      <c r="B353" s="2">
        <v>45992</v>
      </c>
      <c r="C353" s="10" t="s">
        <v>416</v>
      </c>
    </row>
    <row r="354" spans="1:3" x14ac:dyDescent="0.3">
      <c r="A354" t="s">
        <v>93</v>
      </c>
      <c r="B354" s="2">
        <v>46023</v>
      </c>
      <c r="C354" s="10" t="s">
        <v>339</v>
      </c>
    </row>
    <row r="355" spans="1:3" x14ac:dyDescent="0.3">
      <c r="A355" t="s">
        <v>93</v>
      </c>
      <c r="B355" s="2">
        <v>46054</v>
      </c>
      <c r="C355" s="10" t="s">
        <v>327</v>
      </c>
    </row>
    <row r="356" spans="1:3" x14ac:dyDescent="0.3">
      <c r="A356" t="s">
        <v>93</v>
      </c>
      <c r="B356" s="2">
        <v>46082</v>
      </c>
      <c r="C356" s="10" t="s">
        <v>327</v>
      </c>
    </row>
    <row r="357" spans="1:3" x14ac:dyDescent="0.3">
      <c r="A357" t="s">
        <v>93</v>
      </c>
      <c r="B357" s="2">
        <v>46113</v>
      </c>
      <c r="C357" s="10" t="s">
        <v>417</v>
      </c>
    </row>
    <row r="358" spans="1:3" x14ac:dyDescent="0.3">
      <c r="A358" t="s">
        <v>93</v>
      </c>
      <c r="B358" s="2">
        <v>46143</v>
      </c>
      <c r="C358" s="10" t="s">
        <v>855</v>
      </c>
    </row>
    <row r="359" spans="1:3" x14ac:dyDescent="0.3">
      <c r="A359" t="s">
        <v>93</v>
      </c>
      <c r="B359" s="2">
        <v>46174</v>
      </c>
      <c r="C359" s="10"/>
    </row>
    <row r="360" spans="1:3" x14ac:dyDescent="0.3">
      <c r="A360" t="s">
        <v>93</v>
      </c>
      <c r="B360" s="2">
        <v>46204</v>
      </c>
      <c r="C360" s="10"/>
    </row>
    <row r="361" spans="1:3" x14ac:dyDescent="0.3">
      <c r="A361" t="s">
        <v>93</v>
      </c>
      <c r="B361" s="2">
        <v>46235</v>
      </c>
      <c r="C361" s="10"/>
    </row>
    <row r="362" spans="1:3" ht="28.8" x14ac:dyDescent="0.3">
      <c r="A362" t="s">
        <v>95</v>
      </c>
      <c r="B362" s="2">
        <v>45536</v>
      </c>
      <c r="C362" s="10" t="s">
        <v>418</v>
      </c>
    </row>
    <row r="363" spans="1:3" ht="28.95" customHeight="1" x14ac:dyDescent="0.3">
      <c r="A363" t="s">
        <v>95</v>
      </c>
      <c r="B363" s="2">
        <v>45566</v>
      </c>
      <c r="C363" s="10" t="s">
        <v>419</v>
      </c>
    </row>
    <row r="364" spans="1:3" x14ac:dyDescent="0.3">
      <c r="A364" t="s">
        <v>95</v>
      </c>
      <c r="B364" s="2">
        <v>45597</v>
      </c>
      <c r="C364" s="10"/>
    </row>
    <row r="365" spans="1:3" x14ac:dyDescent="0.3">
      <c r="A365" t="s">
        <v>95</v>
      </c>
      <c r="B365" s="2">
        <v>45627</v>
      </c>
      <c r="C365" s="10"/>
    </row>
    <row r="366" spans="1:3" x14ac:dyDescent="0.3">
      <c r="A366" t="s">
        <v>95</v>
      </c>
      <c r="B366" s="2">
        <v>45658</v>
      </c>
      <c r="C366" s="10"/>
    </row>
    <row r="367" spans="1:3" ht="57.6" customHeight="1" x14ac:dyDescent="0.3">
      <c r="A367" t="s">
        <v>95</v>
      </c>
      <c r="B367" s="2">
        <v>45689</v>
      </c>
      <c r="C367" s="10" t="s">
        <v>420</v>
      </c>
    </row>
    <row r="368" spans="1:3" ht="43.2" customHeight="1" x14ac:dyDescent="0.3">
      <c r="A368" t="s">
        <v>95</v>
      </c>
      <c r="B368" s="2">
        <v>45717</v>
      </c>
      <c r="C368" s="10" t="s">
        <v>421</v>
      </c>
    </row>
    <row r="369" spans="1:8" ht="43.2" customHeight="1" x14ac:dyDescent="0.3">
      <c r="A369" t="s">
        <v>95</v>
      </c>
      <c r="B369" s="2">
        <v>45748</v>
      </c>
      <c r="C369" s="10" t="s">
        <v>421</v>
      </c>
    </row>
    <row r="370" spans="1:8" ht="57.6" customHeight="1" x14ac:dyDescent="0.3">
      <c r="A370" t="s">
        <v>95</v>
      </c>
      <c r="B370" s="2">
        <v>45778</v>
      </c>
      <c r="C370" s="10" t="s">
        <v>422</v>
      </c>
    </row>
    <row r="371" spans="1:8" ht="57.6" customHeight="1" x14ac:dyDescent="0.3">
      <c r="A371" t="s">
        <v>95</v>
      </c>
      <c r="B371" s="2">
        <v>45809</v>
      </c>
      <c r="C371" s="10" t="s">
        <v>423</v>
      </c>
    </row>
    <row r="372" spans="1:8" ht="28.8" x14ac:dyDescent="0.3">
      <c r="A372" t="s">
        <v>95</v>
      </c>
      <c r="B372" s="2">
        <v>45839</v>
      </c>
      <c r="C372" s="10" t="s">
        <v>912</v>
      </c>
      <c r="D372">
        <v>0</v>
      </c>
      <c r="E372" t="s">
        <v>33</v>
      </c>
      <c r="F372" t="s">
        <v>33</v>
      </c>
      <c r="G372" s="10" t="s">
        <v>933</v>
      </c>
      <c r="H372" t="s">
        <v>36</v>
      </c>
    </row>
    <row r="373" spans="1:8" ht="28.8" x14ac:dyDescent="0.3">
      <c r="A373" t="s">
        <v>95</v>
      </c>
      <c r="B373" s="2">
        <v>45870</v>
      </c>
      <c r="C373" s="10" t="s">
        <v>912</v>
      </c>
      <c r="D373">
        <v>0</v>
      </c>
      <c r="E373" t="s">
        <v>33</v>
      </c>
      <c r="F373" t="s">
        <v>33</v>
      </c>
      <c r="G373" s="10" t="s">
        <v>933</v>
      </c>
      <c r="H373" t="s">
        <v>36</v>
      </c>
    </row>
    <row r="374" spans="1:8" ht="28.8" x14ac:dyDescent="0.3">
      <c r="A374" t="s">
        <v>95</v>
      </c>
      <c r="B374" s="2">
        <v>45901</v>
      </c>
      <c r="C374" s="10" t="s">
        <v>932</v>
      </c>
      <c r="D374">
        <v>0</v>
      </c>
      <c r="E374" t="s">
        <v>33</v>
      </c>
      <c r="F374" t="s">
        <v>33</v>
      </c>
      <c r="G374" s="10" t="s">
        <v>933</v>
      </c>
      <c r="H374" t="s">
        <v>36</v>
      </c>
    </row>
    <row r="375" spans="1:8" ht="28.8" x14ac:dyDescent="0.3">
      <c r="A375" t="s">
        <v>95</v>
      </c>
      <c r="B375" s="2">
        <v>45931</v>
      </c>
      <c r="C375" s="10" t="s">
        <v>912</v>
      </c>
      <c r="D375">
        <v>0</v>
      </c>
      <c r="E375" t="s">
        <v>33</v>
      </c>
      <c r="F375" t="s">
        <v>33</v>
      </c>
      <c r="G375" s="10" t="s">
        <v>933</v>
      </c>
      <c r="H375" t="s">
        <v>36</v>
      </c>
    </row>
    <row r="376" spans="1:8" ht="43.2" x14ac:dyDescent="0.3">
      <c r="A376" t="s">
        <v>95</v>
      </c>
      <c r="B376" s="2">
        <v>45962</v>
      </c>
      <c r="C376" s="10" t="s">
        <v>932</v>
      </c>
      <c r="D376">
        <v>0</v>
      </c>
      <c r="E376" t="s">
        <v>33</v>
      </c>
      <c r="F376" t="s">
        <v>33</v>
      </c>
      <c r="G376" s="10" t="s">
        <v>934</v>
      </c>
      <c r="H376" t="s">
        <v>36</v>
      </c>
    </row>
    <row r="377" spans="1:8" ht="28.8" x14ac:dyDescent="0.3">
      <c r="A377" t="s">
        <v>95</v>
      </c>
      <c r="B377" s="2">
        <v>45992</v>
      </c>
      <c r="C377" s="10" t="s">
        <v>936</v>
      </c>
      <c r="D377" t="s">
        <v>935</v>
      </c>
      <c r="E377" t="s">
        <v>937</v>
      </c>
      <c r="F377" t="s">
        <v>33</v>
      </c>
      <c r="G377" s="10" t="s">
        <v>939</v>
      </c>
      <c r="H377" t="s">
        <v>36</v>
      </c>
    </row>
    <row r="378" spans="1:8" ht="28.8" x14ac:dyDescent="0.3">
      <c r="A378" t="s">
        <v>95</v>
      </c>
      <c r="B378" s="2">
        <v>46023</v>
      </c>
      <c r="C378" s="10" t="s">
        <v>931</v>
      </c>
      <c r="D378" t="s">
        <v>905</v>
      </c>
      <c r="E378" t="s">
        <v>938</v>
      </c>
      <c r="F378" t="s">
        <v>940</v>
      </c>
      <c r="G378" s="10" t="s">
        <v>939</v>
      </c>
      <c r="H378" t="s">
        <v>36</v>
      </c>
    </row>
    <row r="379" spans="1:8" ht="43.2" x14ac:dyDescent="0.3">
      <c r="A379" t="s">
        <v>95</v>
      </c>
      <c r="B379" s="2">
        <v>46054</v>
      </c>
      <c r="C379" s="10" t="s">
        <v>941</v>
      </c>
      <c r="D379" t="s">
        <v>942</v>
      </c>
      <c r="E379" t="s">
        <v>938</v>
      </c>
      <c r="F379" t="s">
        <v>940</v>
      </c>
      <c r="G379" s="10" t="s">
        <v>425</v>
      </c>
      <c r="H379" t="s">
        <v>36</v>
      </c>
    </row>
    <row r="380" spans="1:8" ht="28.8" x14ac:dyDescent="0.3">
      <c r="A380" t="s">
        <v>95</v>
      </c>
      <c r="B380" s="2">
        <v>46082</v>
      </c>
      <c r="C380" s="10" t="s">
        <v>912</v>
      </c>
      <c r="D380">
        <v>0</v>
      </c>
      <c r="E380" t="s">
        <v>33</v>
      </c>
      <c r="F380" t="s">
        <v>33</v>
      </c>
      <c r="G380" s="10" t="s">
        <v>933</v>
      </c>
      <c r="H380" t="s">
        <v>36</v>
      </c>
    </row>
    <row r="381" spans="1:8" ht="28.8" x14ac:dyDescent="0.3">
      <c r="A381" t="s">
        <v>95</v>
      </c>
      <c r="B381" s="2">
        <v>46113</v>
      </c>
      <c r="C381" s="10" t="s">
        <v>920</v>
      </c>
      <c r="D381">
        <v>0</v>
      </c>
      <c r="E381" t="s">
        <v>33</v>
      </c>
      <c r="F381" t="s">
        <v>33</v>
      </c>
      <c r="G381" s="10" t="s">
        <v>933</v>
      </c>
      <c r="H381" t="s">
        <v>36</v>
      </c>
    </row>
    <row r="382" spans="1:8" ht="28.8" x14ac:dyDescent="0.3">
      <c r="A382" t="s">
        <v>95</v>
      </c>
      <c r="B382" s="2">
        <v>46143</v>
      </c>
      <c r="C382" s="10" t="s">
        <v>912</v>
      </c>
      <c r="D382">
        <v>0</v>
      </c>
      <c r="E382" t="s">
        <v>33</v>
      </c>
      <c r="F382" t="s">
        <v>33</v>
      </c>
      <c r="G382" s="10" t="s">
        <v>933</v>
      </c>
      <c r="H382" t="s">
        <v>36</v>
      </c>
    </row>
    <row r="383" spans="1:8" ht="28.8" x14ac:dyDescent="0.3">
      <c r="A383" t="s">
        <v>95</v>
      </c>
      <c r="B383" s="2">
        <v>46174</v>
      </c>
      <c r="C383" s="10" t="s">
        <v>920</v>
      </c>
      <c r="D383">
        <v>0</v>
      </c>
      <c r="E383" t="s">
        <v>33</v>
      </c>
      <c r="F383" t="s">
        <v>33</v>
      </c>
      <c r="G383" s="10" t="s">
        <v>933</v>
      </c>
      <c r="H383" t="s">
        <v>36</v>
      </c>
    </row>
    <row r="384" spans="1:8" x14ac:dyDescent="0.3">
      <c r="A384" t="s">
        <v>95</v>
      </c>
      <c r="B384" s="2">
        <v>46204</v>
      </c>
      <c r="C384" s="10"/>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912</v>
      </c>
      <c r="D396" t="s">
        <v>36</v>
      </c>
      <c r="E396" t="s">
        <v>36</v>
      </c>
      <c r="F396" t="s">
        <v>36</v>
      </c>
      <c r="G396" t="s">
        <v>36</v>
      </c>
      <c r="H396" t="s">
        <v>968</v>
      </c>
    </row>
    <row r="397" spans="1:8" x14ac:dyDescent="0.3">
      <c r="A397" t="s">
        <v>239</v>
      </c>
      <c r="B397" s="2">
        <v>45870</v>
      </c>
      <c r="C397" t="s">
        <v>912</v>
      </c>
      <c r="D397" t="s">
        <v>36</v>
      </c>
      <c r="E397" t="s">
        <v>36</v>
      </c>
      <c r="F397" t="s">
        <v>36</v>
      </c>
      <c r="G397" t="s">
        <v>36</v>
      </c>
      <c r="H397" t="s">
        <v>968</v>
      </c>
    </row>
    <row r="398" spans="1:8" x14ac:dyDescent="0.3">
      <c r="A398" t="s">
        <v>239</v>
      </c>
      <c r="B398" s="2">
        <v>45901</v>
      </c>
      <c r="C398" t="s">
        <v>920</v>
      </c>
      <c r="D398" t="s">
        <v>36</v>
      </c>
      <c r="E398" t="s">
        <v>36</v>
      </c>
      <c r="F398" t="s">
        <v>36</v>
      </c>
      <c r="G398" t="s">
        <v>36</v>
      </c>
      <c r="H398" t="s">
        <v>968</v>
      </c>
    </row>
    <row r="399" spans="1:8" x14ac:dyDescent="0.3">
      <c r="A399" t="s">
        <v>239</v>
      </c>
      <c r="B399" s="2">
        <v>45931</v>
      </c>
      <c r="C399" t="s">
        <v>912</v>
      </c>
      <c r="D399" t="s">
        <v>36</v>
      </c>
      <c r="E399" t="s">
        <v>36</v>
      </c>
      <c r="F399" t="s">
        <v>36</v>
      </c>
      <c r="G399" t="s">
        <v>36</v>
      </c>
      <c r="H399" t="s">
        <v>968</v>
      </c>
    </row>
    <row r="400" spans="1:8" x14ac:dyDescent="0.3">
      <c r="A400" t="s">
        <v>239</v>
      </c>
      <c r="B400" s="2">
        <v>45962</v>
      </c>
      <c r="C400" t="s">
        <v>920</v>
      </c>
      <c r="D400">
        <v>0</v>
      </c>
      <c r="E400" t="s">
        <v>33</v>
      </c>
      <c r="F400" t="s">
        <v>33</v>
      </c>
      <c r="G400" s="10" t="s">
        <v>339</v>
      </c>
      <c r="H400" t="s">
        <v>36</v>
      </c>
    </row>
    <row r="401" spans="1:8" x14ac:dyDescent="0.3">
      <c r="A401" t="s">
        <v>239</v>
      </c>
      <c r="B401" s="2">
        <v>45992</v>
      </c>
      <c r="C401" t="s">
        <v>912</v>
      </c>
      <c r="D401">
        <v>0</v>
      </c>
      <c r="E401" t="s">
        <v>33</v>
      </c>
      <c r="F401" t="s">
        <v>33</v>
      </c>
      <c r="G401" s="10" t="s">
        <v>339</v>
      </c>
      <c r="H401" t="s">
        <v>36</v>
      </c>
    </row>
    <row r="402" spans="1:8" x14ac:dyDescent="0.3">
      <c r="A402" t="s">
        <v>239</v>
      </c>
      <c r="B402" s="2">
        <v>46023</v>
      </c>
      <c r="C402" t="s">
        <v>912</v>
      </c>
      <c r="D402">
        <v>0</v>
      </c>
      <c r="E402" t="s">
        <v>33</v>
      </c>
      <c r="F402" t="s">
        <v>33</v>
      </c>
      <c r="G402" s="10" t="s">
        <v>339</v>
      </c>
      <c r="H402" t="s">
        <v>36</v>
      </c>
    </row>
    <row r="403" spans="1:8" x14ac:dyDescent="0.3">
      <c r="A403" t="s">
        <v>239</v>
      </c>
      <c r="B403" s="2">
        <v>46054</v>
      </c>
      <c r="C403" t="s">
        <v>896</v>
      </c>
      <c r="D403">
        <v>0</v>
      </c>
      <c r="E403" t="s">
        <v>33</v>
      </c>
      <c r="F403" t="s">
        <v>33</v>
      </c>
      <c r="G403" s="10" t="s">
        <v>339</v>
      </c>
      <c r="H403" t="s">
        <v>36</v>
      </c>
    </row>
    <row r="404" spans="1:8" x14ac:dyDescent="0.3">
      <c r="A404" t="s">
        <v>239</v>
      </c>
      <c r="B404" s="2">
        <v>46082</v>
      </c>
      <c r="C404" t="s">
        <v>912</v>
      </c>
      <c r="D404">
        <v>0</v>
      </c>
      <c r="E404" t="s">
        <v>33</v>
      </c>
      <c r="F404" t="s">
        <v>33</v>
      </c>
      <c r="G404" s="10" t="s">
        <v>339</v>
      </c>
      <c r="H404" t="s">
        <v>36</v>
      </c>
    </row>
    <row r="405" spans="1:8" x14ac:dyDescent="0.3">
      <c r="A405" t="s">
        <v>239</v>
      </c>
      <c r="B405" s="2">
        <v>46113</v>
      </c>
      <c r="C405" t="s">
        <v>920</v>
      </c>
      <c r="D405">
        <v>0</v>
      </c>
      <c r="E405" t="s">
        <v>33</v>
      </c>
      <c r="F405" t="s">
        <v>33</v>
      </c>
      <c r="G405" s="10" t="s">
        <v>303</v>
      </c>
      <c r="H405" t="s">
        <v>36</v>
      </c>
    </row>
    <row r="406" spans="1:8" x14ac:dyDescent="0.3">
      <c r="A406" t="s">
        <v>239</v>
      </c>
      <c r="B406" s="2">
        <v>46143</v>
      </c>
      <c r="C406" t="s">
        <v>912</v>
      </c>
      <c r="D406">
        <v>0</v>
      </c>
      <c r="E406" t="s">
        <v>33</v>
      </c>
      <c r="F406" t="s">
        <v>33</v>
      </c>
      <c r="G406" s="10" t="s">
        <v>303</v>
      </c>
      <c r="H406" t="s">
        <v>36</v>
      </c>
    </row>
    <row r="407" spans="1:8" x14ac:dyDescent="0.3">
      <c r="A407" t="s">
        <v>272</v>
      </c>
      <c r="B407" s="2">
        <v>46174</v>
      </c>
      <c r="C407" t="s">
        <v>920</v>
      </c>
      <c r="D407">
        <v>0</v>
      </c>
      <c r="E407" t="s">
        <v>36</v>
      </c>
      <c r="F407" t="s">
        <v>913</v>
      </c>
      <c r="G407" t="s">
        <v>33</v>
      </c>
      <c r="H407" t="s">
        <v>36</v>
      </c>
    </row>
    <row r="408" spans="1:8" x14ac:dyDescent="0.3">
      <c r="A408" t="s">
        <v>239</v>
      </c>
      <c r="B408" s="2">
        <v>46204</v>
      </c>
      <c r="C408" s="10"/>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426</v>
      </c>
    </row>
    <row r="416" spans="1:8" ht="28.95" customHeight="1" x14ac:dyDescent="0.3">
      <c r="A416" t="s">
        <v>98</v>
      </c>
      <c r="B416" s="2">
        <v>45717</v>
      </c>
      <c r="C416" s="10" t="s">
        <v>427</v>
      </c>
    </row>
    <row r="417" spans="1:3" ht="43.2" customHeight="1" x14ac:dyDescent="0.3">
      <c r="A417" t="s">
        <v>98</v>
      </c>
      <c r="B417" s="2">
        <v>45748</v>
      </c>
      <c r="C417" s="10" t="s">
        <v>428</v>
      </c>
    </row>
    <row r="418" spans="1:3" ht="72" customHeight="1" x14ac:dyDescent="0.3">
      <c r="A418" t="s">
        <v>98</v>
      </c>
      <c r="B418" s="2">
        <v>45778</v>
      </c>
      <c r="C418" s="10" t="s">
        <v>429</v>
      </c>
    </row>
    <row r="419" spans="1:3" ht="72" customHeight="1" x14ac:dyDescent="0.3">
      <c r="A419" t="s">
        <v>98</v>
      </c>
      <c r="B419" s="2">
        <v>45809</v>
      </c>
      <c r="C419" s="10" t="s">
        <v>430</v>
      </c>
    </row>
    <row r="420" spans="1:3" ht="72" customHeight="1" x14ac:dyDescent="0.3">
      <c r="A420" t="s">
        <v>98</v>
      </c>
      <c r="B420" s="2">
        <v>45839</v>
      </c>
      <c r="C420" s="10" t="s">
        <v>431</v>
      </c>
    </row>
    <row r="421" spans="1:3" ht="57.6" customHeight="1" x14ac:dyDescent="0.3">
      <c r="A421" t="s">
        <v>98</v>
      </c>
      <c r="B421" s="2">
        <v>45870</v>
      </c>
      <c r="C421" s="10" t="s">
        <v>432</v>
      </c>
    </row>
    <row r="422" spans="1:3" ht="57.6" customHeight="1" x14ac:dyDescent="0.3">
      <c r="A422" t="s">
        <v>98</v>
      </c>
      <c r="B422" s="2">
        <v>45901</v>
      </c>
      <c r="C422" s="10" t="s">
        <v>433</v>
      </c>
    </row>
    <row r="423" spans="1:3" ht="57.6" customHeight="1" x14ac:dyDescent="0.3">
      <c r="A423" t="s">
        <v>98</v>
      </c>
      <c r="B423" s="2">
        <v>45931</v>
      </c>
      <c r="C423" s="10" t="s">
        <v>434</v>
      </c>
    </row>
    <row r="424" spans="1:3" ht="57.6" customHeight="1" x14ac:dyDescent="0.3">
      <c r="A424" t="s">
        <v>98</v>
      </c>
      <c r="B424" s="2">
        <v>45962</v>
      </c>
      <c r="C424" s="10" t="s">
        <v>435</v>
      </c>
    </row>
    <row r="425" spans="1:3" ht="28.8" x14ac:dyDescent="0.3">
      <c r="A425" t="s">
        <v>98</v>
      </c>
      <c r="B425" s="2">
        <v>45992</v>
      </c>
      <c r="C425" s="10" t="s">
        <v>436</v>
      </c>
    </row>
    <row r="426" spans="1:3" ht="28.8" x14ac:dyDescent="0.3">
      <c r="A426" t="s">
        <v>98</v>
      </c>
      <c r="B426" s="2">
        <v>46023</v>
      </c>
      <c r="C426" s="10" t="s">
        <v>437</v>
      </c>
    </row>
    <row r="427" spans="1:3" ht="43.2" x14ac:dyDescent="0.3">
      <c r="A427" t="s">
        <v>98</v>
      </c>
      <c r="B427" s="2">
        <v>46054</v>
      </c>
      <c r="C427" s="10" t="s">
        <v>438</v>
      </c>
    </row>
    <row r="428" spans="1:3" ht="28.8" x14ac:dyDescent="0.3">
      <c r="A428" t="s">
        <v>98</v>
      </c>
      <c r="B428" s="2">
        <v>46082</v>
      </c>
      <c r="C428" s="10" t="s">
        <v>439</v>
      </c>
    </row>
    <row r="429" spans="1:3" ht="28.8" x14ac:dyDescent="0.3">
      <c r="A429" t="s">
        <v>98</v>
      </c>
      <c r="B429" s="2">
        <v>46113</v>
      </c>
      <c r="C429" s="10" t="s">
        <v>439</v>
      </c>
    </row>
    <row r="430" spans="1:3" ht="28.8" x14ac:dyDescent="0.3">
      <c r="A430" t="s">
        <v>98</v>
      </c>
      <c r="B430" s="2">
        <v>46143</v>
      </c>
      <c r="C430" s="10" t="s">
        <v>856</v>
      </c>
    </row>
    <row r="431" spans="1:3" x14ac:dyDescent="0.3">
      <c r="A431" t="s">
        <v>98</v>
      </c>
      <c r="B431" s="2">
        <v>46174</v>
      </c>
      <c r="C431" s="10"/>
    </row>
    <row r="432" spans="1:3" x14ac:dyDescent="0.3">
      <c r="A432" t="s">
        <v>98</v>
      </c>
      <c r="B432" s="2">
        <v>46204</v>
      </c>
      <c r="C432" s="10"/>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440</v>
      </c>
    </row>
    <row r="440" spans="1:3" ht="43.2" customHeight="1" x14ac:dyDescent="0.3">
      <c r="A440" t="s">
        <v>102</v>
      </c>
      <c r="B440" s="2">
        <v>45717</v>
      </c>
      <c r="C440" s="10" t="s">
        <v>441</v>
      </c>
    </row>
    <row r="441" spans="1:3" ht="43.2" customHeight="1" x14ac:dyDescent="0.3">
      <c r="A441" t="s">
        <v>102</v>
      </c>
      <c r="B441" s="2">
        <v>45748</v>
      </c>
      <c r="C441" s="10" t="s">
        <v>442</v>
      </c>
    </row>
    <row r="442" spans="1:3" ht="57.6" customHeight="1" x14ac:dyDescent="0.3">
      <c r="A442" t="s">
        <v>102</v>
      </c>
      <c r="B442" s="2">
        <v>45778</v>
      </c>
      <c r="C442" s="10" t="s">
        <v>443</v>
      </c>
    </row>
    <row r="443" spans="1:3" ht="72" customHeight="1" x14ac:dyDescent="0.3">
      <c r="A443" t="s">
        <v>102</v>
      </c>
      <c r="B443" s="2">
        <v>45809</v>
      </c>
      <c r="C443" s="10" t="s">
        <v>444</v>
      </c>
    </row>
    <row r="444" spans="1:3" ht="57.6" customHeight="1" x14ac:dyDescent="0.3">
      <c r="A444" t="s">
        <v>102</v>
      </c>
      <c r="B444" s="2">
        <v>45839</v>
      </c>
      <c r="C444" s="10" t="s">
        <v>445</v>
      </c>
    </row>
    <row r="445" spans="1:3" ht="86.4" customHeight="1" x14ac:dyDescent="0.3">
      <c r="A445" t="s">
        <v>102</v>
      </c>
      <c r="B445" s="2">
        <v>45870</v>
      </c>
      <c r="C445" s="10" t="s">
        <v>446</v>
      </c>
    </row>
    <row r="446" spans="1:3" ht="57.6" customHeight="1" x14ac:dyDescent="0.3">
      <c r="A446" t="s">
        <v>102</v>
      </c>
      <c r="B446" s="2">
        <v>45901</v>
      </c>
      <c r="C446" s="10" t="s">
        <v>447</v>
      </c>
    </row>
    <row r="447" spans="1:3" ht="57.6" customHeight="1" x14ac:dyDescent="0.3">
      <c r="A447" t="s">
        <v>102</v>
      </c>
      <c r="B447" s="2">
        <v>45931</v>
      </c>
      <c r="C447" s="10" t="s">
        <v>448</v>
      </c>
    </row>
    <row r="448" spans="1:3" ht="57.6" customHeight="1" x14ac:dyDescent="0.3">
      <c r="A448" t="s">
        <v>102</v>
      </c>
      <c r="B448" s="2">
        <v>45962</v>
      </c>
      <c r="C448" s="10" t="s">
        <v>449</v>
      </c>
    </row>
    <row r="449" spans="1:3" ht="28.8" x14ac:dyDescent="0.3">
      <c r="A449" t="s">
        <v>102</v>
      </c>
      <c r="B449" s="2">
        <v>45992</v>
      </c>
      <c r="C449" s="10" t="s">
        <v>436</v>
      </c>
    </row>
    <row r="450" spans="1:3" x14ac:dyDescent="0.3">
      <c r="A450" t="s">
        <v>102</v>
      </c>
      <c r="B450" s="2">
        <v>46023</v>
      </c>
      <c r="C450" s="10" t="s">
        <v>424</v>
      </c>
    </row>
    <row r="451" spans="1:3" x14ac:dyDescent="0.3">
      <c r="A451" t="s">
        <v>102</v>
      </c>
      <c r="B451" s="2">
        <v>46054</v>
      </c>
      <c r="C451" s="10" t="s">
        <v>424</v>
      </c>
    </row>
    <row r="452" spans="1:3" x14ac:dyDescent="0.3">
      <c r="A452" t="s">
        <v>102</v>
      </c>
      <c r="B452" s="2">
        <v>46082</v>
      </c>
      <c r="C452" s="10" t="s">
        <v>424</v>
      </c>
    </row>
    <row r="453" spans="1:3" x14ac:dyDescent="0.3">
      <c r="A453" t="s">
        <v>102</v>
      </c>
      <c r="B453" s="2">
        <v>46113</v>
      </c>
      <c r="C453" s="10" t="s">
        <v>424</v>
      </c>
    </row>
    <row r="454" spans="1:3" x14ac:dyDescent="0.3">
      <c r="A454" t="s">
        <v>102</v>
      </c>
      <c r="B454" s="2">
        <v>46143</v>
      </c>
      <c r="C454" s="10" t="s">
        <v>853</v>
      </c>
    </row>
    <row r="455" spans="1:3" x14ac:dyDescent="0.3">
      <c r="A455" t="s">
        <v>102</v>
      </c>
      <c r="B455" s="2">
        <v>46174</v>
      </c>
      <c r="C455" s="10"/>
    </row>
    <row r="456" spans="1:3" x14ac:dyDescent="0.3">
      <c r="A456" t="s">
        <v>102</v>
      </c>
      <c r="B456" s="2">
        <v>46204</v>
      </c>
      <c r="C456" s="10"/>
    </row>
    <row r="457" spans="1:3" x14ac:dyDescent="0.3">
      <c r="A457" t="s">
        <v>102</v>
      </c>
      <c r="B457" s="2">
        <v>46235</v>
      </c>
      <c r="C457" s="10"/>
    </row>
    <row r="458" spans="1:3" x14ac:dyDescent="0.3">
      <c r="A458" t="s">
        <v>104</v>
      </c>
      <c r="B458" s="2">
        <v>45536</v>
      </c>
      <c r="C458" s="10" t="s">
        <v>450</v>
      </c>
    </row>
    <row r="459" spans="1:3" x14ac:dyDescent="0.3">
      <c r="A459" t="s">
        <v>104</v>
      </c>
      <c r="B459" s="2">
        <v>45566</v>
      </c>
      <c r="C459" s="10" t="s">
        <v>450</v>
      </c>
    </row>
    <row r="460" spans="1:3" x14ac:dyDescent="0.3">
      <c r="A460" t="s">
        <v>104</v>
      </c>
      <c r="B460" s="2">
        <v>45597</v>
      </c>
      <c r="C460" s="10"/>
    </row>
    <row r="461" spans="1:3" x14ac:dyDescent="0.3">
      <c r="A461" t="s">
        <v>104</v>
      </c>
      <c r="B461" s="2">
        <v>45627</v>
      </c>
      <c r="C461" s="10"/>
    </row>
    <row r="462" spans="1:3" x14ac:dyDescent="0.3">
      <c r="A462" t="s">
        <v>104</v>
      </c>
      <c r="B462" s="2">
        <v>45658</v>
      </c>
      <c r="C462" s="10"/>
    </row>
    <row r="463" spans="1:3" ht="57.6" customHeight="1" x14ac:dyDescent="0.3">
      <c r="A463" t="s">
        <v>104</v>
      </c>
      <c r="B463" s="2">
        <v>45689</v>
      </c>
      <c r="C463" s="10" t="s">
        <v>451</v>
      </c>
    </row>
    <row r="464" spans="1:3" ht="57.6" customHeight="1" x14ac:dyDescent="0.3">
      <c r="A464" t="s">
        <v>104</v>
      </c>
      <c r="B464" s="2">
        <v>45717</v>
      </c>
      <c r="C464" s="10" t="s">
        <v>452</v>
      </c>
    </row>
    <row r="465" spans="1:8" ht="57.6" customHeight="1" x14ac:dyDescent="0.3">
      <c r="A465" t="s">
        <v>104</v>
      </c>
      <c r="B465" s="2">
        <v>45748</v>
      </c>
      <c r="C465" s="10" t="s">
        <v>453</v>
      </c>
    </row>
    <row r="466" spans="1:8" ht="72" customHeight="1" x14ac:dyDescent="0.3">
      <c r="A466" t="s">
        <v>104</v>
      </c>
      <c r="B466" s="2">
        <v>45778</v>
      </c>
      <c r="C466" s="10" t="s">
        <v>454</v>
      </c>
    </row>
    <row r="467" spans="1:8" ht="57.6" customHeight="1" x14ac:dyDescent="0.3">
      <c r="A467" t="s">
        <v>104</v>
      </c>
      <c r="B467" s="2">
        <v>45809</v>
      </c>
      <c r="C467" s="10" t="s">
        <v>455</v>
      </c>
    </row>
    <row r="468" spans="1:8" ht="28.8" x14ac:dyDescent="0.3">
      <c r="A468" t="s">
        <v>104</v>
      </c>
      <c r="B468" s="2">
        <v>45839</v>
      </c>
      <c r="C468" t="s">
        <v>950</v>
      </c>
      <c r="D468" t="s">
        <v>949</v>
      </c>
      <c r="E468" t="s">
        <v>951</v>
      </c>
      <c r="F468" t="s">
        <v>952</v>
      </c>
      <c r="G468" s="10" t="s">
        <v>933</v>
      </c>
      <c r="H468" t="s">
        <v>36</v>
      </c>
    </row>
    <row r="469" spans="1:8" ht="28.8" x14ac:dyDescent="0.3">
      <c r="A469" t="s">
        <v>104</v>
      </c>
      <c r="B469" s="2">
        <v>45870</v>
      </c>
      <c r="C469" t="s">
        <v>899</v>
      </c>
      <c r="D469" t="s">
        <v>953</v>
      </c>
      <c r="E469" t="s">
        <v>951</v>
      </c>
      <c r="F469" t="s">
        <v>952</v>
      </c>
      <c r="G469" s="10" t="s">
        <v>933</v>
      </c>
      <c r="H469" t="s">
        <v>36</v>
      </c>
    </row>
    <row r="470" spans="1:8" ht="28.8" x14ac:dyDescent="0.3">
      <c r="A470" t="s">
        <v>104</v>
      </c>
      <c r="B470" s="2">
        <v>45901</v>
      </c>
      <c r="C470" t="s">
        <v>920</v>
      </c>
      <c r="D470" t="s">
        <v>33</v>
      </c>
      <c r="E470" t="s">
        <v>33</v>
      </c>
      <c r="F470" t="s">
        <v>33</v>
      </c>
      <c r="G470" s="10" t="s">
        <v>933</v>
      </c>
      <c r="H470" t="s">
        <v>36</v>
      </c>
    </row>
    <row r="471" spans="1:8" ht="28.8" x14ac:dyDescent="0.3">
      <c r="A471" t="s">
        <v>104</v>
      </c>
      <c r="B471" s="2">
        <v>45931</v>
      </c>
      <c r="C471" t="s">
        <v>955</v>
      </c>
      <c r="D471" t="s">
        <v>954</v>
      </c>
      <c r="E471" t="s">
        <v>951</v>
      </c>
      <c r="F471" t="s">
        <v>952</v>
      </c>
      <c r="G471" s="10" t="s">
        <v>933</v>
      </c>
      <c r="H471" t="s">
        <v>36</v>
      </c>
    </row>
    <row r="472" spans="1:8" ht="28.8" x14ac:dyDescent="0.3">
      <c r="A472" t="s">
        <v>104</v>
      </c>
      <c r="B472" s="2">
        <v>45962</v>
      </c>
      <c r="C472" t="s">
        <v>920</v>
      </c>
      <c r="D472">
        <v>0</v>
      </c>
      <c r="E472" t="s">
        <v>33</v>
      </c>
      <c r="F472" t="s">
        <v>33</v>
      </c>
      <c r="G472" s="10" t="s">
        <v>933</v>
      </c>
      <c r="H472" t="s">
        <v>36</v>
      </c>
    </row>
    <row r="473" spans="1:8" ht="28.8" x14ac:dyDescent="0.3">
      <c r="A473" t="s">
        <v>104</v>
      </c>
      <c r="B473" s="2">
        <v>45992</v>
      </c>
      <c r="C473" t="s">
        <v>920</v>
      </c>
      <c r="D473" t="s">
        <v>956</v>
      </c>
      <c r="E473" t="s">
        <v>937</v>
      </c>
      <c r="F473" t="s">
        <v>33</v>
      </c>
      <c r="G473" s="10" t="s">
        <v>933</v>
      </c>
      <c r="H473" t="s">
        <v>36</v>
      </c>
    </row>
    <row r="474" spans="1:8" ht="28.8" x14ac:dyDescent="0.3">
      <c r="A474" t="s">
        <v>104</v>
      </c>
      <c r="B474" s="2">
        <v>46023</v>
      </c>
      <c r="C474" t="s">
        <v>912</v>
      </c>
      <c r="D474">
        <v>0</v>
      </c>
      <c r="E474" t="s">
        <v>33</v>
      </c>
      <c r="F474" t="s">
        <v>33</v>
      </c>
      <c r="G474" s="10" t="s">
        <v>933</v>
      </c>
      <c r="H474" t="s">
        <v>36</v>
      </c>
    </row>
    <row r="475" spans="1:8" ht="28.8" x14ac:dyDescent="0.3">
      <c r="A475" t="s">
        <v>104</v>
      </c>
      <c r="B475" s="2">
        <v>46054</v>
      </c>
      <c r="C475" t="s">
        <v>896</v>
      </c>
      <c r="D475">
        <v>0</v>
      </c>
      <c r="E475" t="s">
        <v>33</v>
      </c>
      <c r="F475" t="s">
        <v>33</v>
      </c>
      <c r="G475" s="10" t="s">
        <v>933</v>
      </c>
      <c r="H475" t="s">
        <v>36</v>
      </c>
    </row>
    <row r="476" spans="1:8" ht="28.8" x14ac:dyDescent="0.3">
      <c r="A476" t="s">
        <v>104</v>
      </c>
      <c r="B476" s="2">
        <v>46082</v>
      </c>
      <c r="C476" t="s">
        <v>918</v>
      </c>
      <c r="D476" t="s">
        <v>957</v>
      </c>
      <c r="E476" t="s">
        <v>951</v>
      </c>
      <c r="F476" t="s">
        <v>952</v>
      </c>
      <c r="G476" s="10" t="s">
        <v>933</v>
      </c>
      <c r="H476" t="s">
        <v>36</v>
      </c>
    </row>
    <row r="477" spans="1:8" ht="28.8" x14ac:dyDescent="0.3">
      <c r="A477" t="s">
        <v>104</v>
      </c>
      <c r="B477" s="2">
        <v>46113</v>
      </c>
      <c r="C477" t="s">
        <v>920</v>
      </c>
      <c r="D477">
        <v>0</v>
      </c>
      <c r="E477" t="s">
        <v>33</v>
      </c>
      <c r="F477" t="s">
        <v>33</v>
      </c>
      <c r="G477" s="10" t="s">
        <v>933</v>
      </c>
    </row>
    <row r="478" spans="1:8" x14ac:dyDescent="0.3">
      <c r="A478" t="s">
        <v>104</v>
      </c>
      <c r="B478" s="2">
        <v>46143</v>
      </c>
      <c r="C478" t="s">
        <v>958</v>
      </c>
      <c r="D478" t="s">
        <v>959</v>
      </c>
      <c r="E478" t="s">
        <v>951</v>
      </c>
      <c r="F478" t="s">
        <v>952</v>
      </c>
      <c r="G478" s="10" t="s">
        <v>857</v>
      </c>
    </row>
    <row r="479" spans="1:8" x14ac:dyDescent="0.3">
      <c r="A479" t="s">
        <v>239</v>
      </c>
      <c r="B479" s="2">
        <v>46174</v>
      </c>
      <c r="C479" t="s">
        <v>920</v>
      </c>
      <c r="D479">
        <v>0</v>
      </c>
      <c r="E479" t="s">
        <v>33</v>
      </c>
      <c r="F479" t="s">
        <v>33</v>
      </c>
      <c r="G479" t="s">
        <v>960</v>
      </c>
      <c r="H479" t="s">
        <v>36</v>
      </c>
    </row>
    <row r="480" spans="1:8" x14ac:dyDescent="0.3">
      <c r="A480" t="s">
        <v>104</v>
      </c>
      <c r="B480" s="2">
        <v>46204</v>
      </c>
      <c r="C480" s="10"/>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451</v>
      </c>
    </row>
    <row r="488" spans="1:8" x14ac:dyDescent="0.3">
      <c r="A488" t="s">
        <v>107</v>
      </c>
      <c r="B488" s="2">
        <v>45717</v>
      </c>
      <c r="C488" s="10" t="s">
        <v>456</v>
      </c>
    </row>
    <row r="489" spans="1:8" x14ac:dyDescent="0.3">
      <c r="A489" t="s">
        <v>107</v>
      </c>
      <c r="B489" s="2">
        <v>45748</v>
      </c>
      <c r="C489" s="10" t="s">
        <v>456</v>
      </c>
    </row>
    <row r="490" spans="1:8" ht="57.6" customHeight="1" x14ac:dyDescent="0.3">
      <c r="A490" t="s">
        <v>107</v>
      </c>
      <c r="B490" s="2">
        <v>45778</v>
      </c>
      <c r="C490" s="10" t="s">
        <v>457</v>
      </c>
    </row>
    <row r="491" spans="1:8" ht="57.6" customHeight="1" x14ac:dyDescent="0.3">
      <c r="A491" t="s">
        <v>107</v>
      </c>
      <c r="B491" s="2">
        <v>45809</v>
      </c>
      <c r="C491" s="10" t="s">
        <v>458</v>
      </c>
    </row>
    <row r="492" spans="1:8" x14ac:dyDescent="0.3">
      <c r="A492" t="s">
        <v>107</v>
      </c>
      <c r="B492" s="2">
        <v>45839</v>
      </c>
      <c r="C492" t="s">
        <v>912</v>
      </c>
      <c r="D492">
        <v>0</v>
      </c>
      <c r="E492" t="s">
        <v>33</v>
      </c>
      <c r="F492" t="s">
        <v>33</v>
      </c>
      <c r="G492" s="10" t="s">
        <v>960</v>
      </c>
      <c r="H492" t="s">
        <v>36</v>
      </c>
    </row>
    <row r="493" spans="1:8" ht="28.8" x14ac:dyDescent="0.3">
      <c r="A493" t="s">
        <v>107</v>
      </c>
      <c r="B493" s="2">
        <v>45870</v>
      </c>
      <c r="C493" t="s">
        <v>899</v>
      </c>
      <c r="D493" t="s">
        <v>961</v>
      </c>
      <c r="E493" t="s">
        <v>470</v>
      </c>
      <c r="F493" t="s">
        <v>952</v>
      </c>
      <c r="G493" s="10" t="s">
        <v>962</v>
      </c>
      <c r="H493" t="s">
        <v>36</v>
      </c>
    </row>
    <row r="494" spans="1:8" x14ac:dyDescent="0.3">
      <c r="A494" t="s">
        <v>107</v>
      </c>
      <c r="B494" s="2">
        <v>45901</v>
      </c>
      <c r="C494" t="s">
        <v>920</v>
      </c>
      <c r="D494">
        <v>0</v>
      </c>
      <c r="E494" t="s">
        <v>33</v>
      </c>
      <c r="F494" t="s">
        <v>33</v>
      </c>
      <c r="G494" s="10" t="s">
        <v>960</v>
      </c>
      <c r="H494" t="s">
        <v>36</v>
      </c>
    </row>
    <row r="495" spans="1:8" x14ac:dyDescent="0.3">
      <c r="A495" t="s">
        <v>107</v>
      </c>
      <c r="B495" s="2">
        <v>45931</v>
      </c>
      <c r="C495" t="s">
        <v>912</v>
      </c>
      <c r="D495">
        <v>0</v>
      </c>
      <c r="E495" t="s">
        <v>33</v>
      </c>
      <c r="F495" t="s">
        <v>33</v>
      </c>
      <c r="G495" s="10" t="s">
        <v>960</v>
      </c>
      <c r="H495" t="s">
        <v>36</v>
      </c>
    </row>
    <row r="496" spans="1:8" x14ac:dyDescent="0.3">
      <c r="A496" t="s">
        <v>107</v>
      </c>
      <c r="B496" s="2">
        <v>45962</v>
      </c>
      <c r="C496" t="s">
        <v>920</v>
      </c>
      <c r="D496">
        <v>0</v>
      </c>
      <c r="E496" t="s">
        <v>33</v>
      </c>
      <c r="F496" t="s">
        <v>33</v>
      </c>
      <c r="G496" s="10" t="s">
        <v>960</v>
      </c>
      <c r="H496" t="s">
        <v>36</v>
      </c>
    </row>
    <row r="497" spans="1:8" x14ac:dyDescent="0.3">
      <c r="A497" t="s">
        <v>107</v>
      </c>
      <c r="B497" s="2">
        <v>45992</v>
      </c>
      <c r="C497" t="s">
        <v>912</v>
      </c>
      <c r="D497">
        <v>0</v>
      </c>
      <c r="E497" t="s">
        <v>33</v>
      </c>
      <c r="F497" t="s">
        <v>33</v>
      </c>
      <c r="G497" s="10" t="s">
        <v>960</v>
      </c>
      <c r="H497" t="s">
        <v>36</v>
      </c>
    </row>
    <row r="498" spans="1:8" ht="28.8" x14ac:dyDescent="0.3">
      <c r="A498" t="s">
        <v>107</v>
      </c>
      <c r="B498" s="2">
        <v>46023</v>
      </c>
      <c r="C498" t="s">
        <v>912</v>
      </c>
      <c r="D498">
        <v>0</v>
      </c>
      <c r="E498" t="s">
        <v>33</v>
      </c>
      <c r="F498" t="s">
        <v>33</v>
      </c>
      <c r="G498" s="10" t="s">
        <v>960</v>
      </c>
      <c r="H498" s="10" t="s">
        <v>459</v>
      </c>
    </row>
    <row r="499" spans="1:8" x14ac:dyDescent="0.3">
      <c r="A499" t="s">
        <v>107</v>
      </c>
      <c r="B499" s="2">
        <v>46054</v>
      </c>
      <c r="C499" t="s">
        <v>896</v>
      </c>
      <c r="D499">
        <v>0</v>
      </c>
      <c r="E499" t="s">
        <v>33</v>
      </c>
      <c r="F499" t="s">
        <v>33</v>
      </c>
      <c r="G499" s="10" t="s">
        <v>960</v>
      </c>
      <c r="H499" t="s">
        <v>36</v>
      </c>
    </row>
    <row r="500" spans="1:8" ht="28.8" x14ac:dyDescent="0.3">
      <c r="A500" t="s">
        <v>107</v>
      </c>
      <c r="B500" s="2">
        <v>46082</v>
      </c>
      <c r="C500" t="s">
        <v>912</v>
      </c>
      <c r="D500">
        <v>0</v>
      </c>
      <c r="E500" t="s">
        <v>33</v>
      </c>
      <c r="F500" t="s">
        <v>33</v>
      </c>
      <c r="G500" s="10" t="s">
        <v>933</v>
      </c>
      <c r="H500" t="s">
        <v>36</v>
      </c>
    </row>
    <row r="501" spans="1:8" ht="28.8" x14ac:dyDescent="0.3">
      <c r="A501" t="s">
        <v>107</v>
      </c>
      <c r="B501" s="2">
        <v>46113</v>
      </c>
      <c r="C501" t="s">
        <v>920</v>
      </c>
      <c r="D501">
        <v>0</v>
      </c>
      <c r="E501" t="s">
        <v>33</v>
      </c>
      <c r="F501" t="s">
        <v>33</v>
      </c>
      <c r="G501" s="10" t="s">
        <v>933</v>
      </c>
      <c r="H501" t="s">
        <v>36</v>
      </c>
    </row>
    <row r="502" spans="1:8" x14ac:dyDescent="0.3">
      <c r="A502" t="s">
        <v>107</v>
      </c>
      <c r="B502" s="2">
        <v>46143</v>
      </c>
      <c r="C502" t="s">
        <v>912</v>
      </c>
      <c r="D502">
        <v>0</v>
      </c>
      <c r="E502" t="s">
        <v>33</v>
      </c>
      <c r="F502" t="s">
        <v>33</v>
      </c>
      <c r="G502" s="10" t="s">
        <v>960</v>
      </c>
      <c r="H502" t="s">
        <v>36</v>
      </c>
    </row>
    <row r="503" spans="1:8" ht="28.8" x14ac:dyDescent="0.3">
      <c r="A503" t="s">
        <v>104</v>
      </c>
      <c r="B503" s="2">
        <v>46174</v>
      </c>
      <c r="C503" t="s">
        <v>920</v>
      </c>
      <c r="D503">
        <v>0</v>
      </c>
      <c r="E503" t="s">
        <v>33</v>
      </c>
      <c r="F503" t="s">
        <v>999</v>
      </c>
      <c r="G503" s="10" t="s">
        <v>997</v>
      </c>
      <c r="H503" t="s">
        <v>36</v>
      </c>
    </row>
    <row r="504" spans="1:8" x14ac:dyDescent="0.3">
      <c r="A504" t="s">
        <v>107</v>
      </c>
      <c r="B504" s="2">
        <v>46204</v>
      </c>
      <c r="C504" s="10"/>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3" x14ac:dyDescent="0.3">
      <c r="A513" t="s">
        <v>228</v>
      </c>
      <c r="B513" s="2">
        <v>45748</v>
      </c>
      <c r="C513" s="10"/>
    </row>
    <row r="514" spans="1:3" x14ac:dyDescent="0.3">
      <c r="A514" t="s">
        <v>228</v>
      </c>
      <c r="B514" s="2">
        <v>45778</v>
      </c>
      <c r="C514" s="10"/>
    </row>
    <row r="515" spans="1:3" x14ac:dyDescent="0.3">
      <c r="A515" t="s">
        <v>228</v>
      </c>
      <c r="B515" s="2">
        <v>45809</v>
      </c>
      <c r="C515" s="10"/>
    </row>
    <row r="516" spans="1:3" x14ac:dyDescent="0.3">
      <c r="A516" t="s">
        <v>228</v>
      </c>
      <c r="B516" s="2">
        <v>45839</v>
      </c>
      <c r="C516" s="10"/>
    </row>
    <row r="517" spans="1:3" x14ac:dyDescent="0.3">
      <c r="A517" t="s">
        <v>228</v>
      </c>
      <c r="B517" s="2">
        <v>45870</v>
      </c>
      <c r="C517" s="10"/>
    </row>
    <row r="518" spans="1:3" x14ac:dyDescent="0.3">
      <c r="A518" t="s">
        <v>228</v>
      </c>
      <c r="B518" s="2">
        <v>45901</v>
      </c>
      <c r="C518" s="10"/>
    </row>
    <row r="519" spans="1:3" x14ac:dyDescent="0.3">
      <c r="A519" t="s">
        <v>228</v>
      </c>
      <c r="B519" s="2">
        <v>45931</v>
      </c>
      <c r="C519" s="10"/>
    </row>
    <row r="520" spans="1:3" x14ac:dyDescent="0.3">
      <c r="A520" t="s">
        <v>228</v>
      </c>
      <c r="B520" s="2">
        <v>45962</v>
      </c>
      <c r="C520" s="10"/>
    </row>
    <row r="521" spans="1:3" x14ac:dyDescent="0.3">
      <c r="A521" t="s">
        <v>228</v>
      </c>
      <c r="B521" s="2">
        <v>45992</v>
      </c>
      <c r="C521" s="10"/>
    </row>
    <row r="522" spans="1:3" x14ac:dyDescent="0.3">
      <c r="A522" t="s">
        <v>228</v>
      </c>
      <c r="B522" s="2">
        <v>46023</v>
      </c>
      <c r="C522" s="10"/>
    </row>
    <row r="523" spans="1:3" x14ac:dyDescent="0.3">
      <c r="A523" t="s">
        <v>228</v>
      </c>
      <c r="B523" s="2">
        <v>46054</v>
      </c>
      <c r="C523" s="10"/>
    </row>
    <row r="524" spans="1:3" x14ac:dyDescent="0.3">
      <c r="A524" t="s">
        <v>228</v>
      </c>
      <c r="B524" s="2">
        <v>46082</v>
      </c>
      <c r="C524" s="10" t="s">
        <v>460</v>
      </c>
    </row>
    <row r="525" spans="1:3" x14ac:dyDescent="0.3">
      <c r="A525" t="s">
        <v>228</v>
      </c>
      <c r="B525" s="2">
        <v>46113</v>
      </c>
      <c r="C525" s="10" t="s">
        <v>461</v>
      </c>
    </row>
    <row r="526" spans="1:3" x14ac:dyDescent="0.3">
      <c r="A526" t="s">
        <v>228</v>
      </c>
      <c r="B526" s="2">
        <v>46143</v>
      </c>
      <c r="C526" s="10" t="s">
        <v>853</v>
      </c>
    </row>
    <row r="527" spans="1:3" x14ac:dyDescent="0.3">
      <c r="A527" t="s">
        <v>228</v>
      </c>
      <c r="B527" s="2">
        <v>46174</v>
      </c>
      <c r="C527" s="10"/>
    </row>
    <row r="528" spans="1:3" x14ac:dyDescent="0.3">
      <c r="A528" t="s">
        <v>228</v>
      </c>
      <c r="B528" s="2">
        <v>46204</v>
      </c>
      <c r="C528" s="10"/>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462</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463</v>
      </c>
    </row>
    <row r="539" spans="1:3" ht="57.6" customHeight="1" x14ac:dyDescent="0.3">
      <c r="A539" t="s">
        <v>109</v>
      </c>
      <c r="B539" s="2">
        <v>45809</v>
      </c>
      <c r="C539" s="10" t="s">
        <v>464</v>
      </c>
    </row>
    <row r="540" spans="1:3" ht="57.6" customHeight="1" x14ac:dyDescent="0.3">
      <c r="A540" t="s">
        <v>109</v>
      </c>
      <c r="B540" s="2">
        <v>45839</v>
      </c>
      <c r="C540" s="10" t="s">
        <v>465</v>
      </c>
    </row>
    <row r="541" spans="1:3" ht="57.6" customHeight="1" x14ac:dyDescent="0.3">
      <c r="A541" t="s">
        <v>109</v>
      </c>
      <c r="B541" s="2">
        <v>45870</v>
      </c>
      <c r="C541" s="10" t="s">
        <v>466</v>
      </c>
    </row>
    <row r="542" spans="1:3" ht="57.6" customHeight="1" x14ac:dyDescent="0.3">
      <c r="A542" t="s">
        <v>109</v>
      </c>
      <c r="B542" s="2">
        <v>45901</v>
      </c>
      <c r="C542" s="10" t="s">
        <v>467</v>
      </c>
    </row>
    <row r="543" spans="1:3" ht="57.6" customHeight="1" x14ac:dyDescent="0.3">
      <c r="A543" t="s">
        <v>109</v>
      </c>
      <c r="B543" s="2">
        <v>45931</v>
      </c>
      <c r="C543" s="10" t="s">
        <v>468</v>
      </c>
    </row>
    <row r="544" spans="1:3" ht="57.6" customHeight="1" x14ac:dyDescent="0.3">
      <c r="A544" t="s">
        <v>109</v>
      </c>
      <c r="B544" s="2">
        <v>45962</v>
      </c>
      <c r="C544" s="10" t="s">
        <v>469</v>
      </c>
    </row>
    <row r="545" spans="1:3" x14ac:dyDescent="0.3">
      <c r="A545" t="s">
        <v>109</v>
      </c>
      <c r="B545" s="2">
        <v>45992</v>
      </c>
      <c r="C545" s="10" t="s">
        <v>470</v>
      </c>
    </row>
    <row r="546" spans="1:3" x14ac:dyDescent="0.3">
      <c r="A546" t="s">
        <v>109</v>
      </c>
      <c r="B546" s="2">
        <v>46023</v>
      </c>
      <c r="C546" s="10" t="s">
        <v>470</v>
      </c>
    </row>
    <row r="547" spans="1:3" x14ac:dyDescent="0.3">
      <c r="A547" t="s">
        <v>109</v>
      </c>
      <c r="B547" s="2">
        <v>46054</v>
      </c>
      <c r="C547" s="10" t="s">
        <v>327</v>
      </c>
    </row>
    <row r="548" spans="1:3" ht="28.8" x14ac:dyDescent="0.3">
      <c r="A548" t="s">
        <v>109</v>
      </c>
      <c r="B548" s="2">
        <v>46082</v>
      </c>
      <c r="C548" s="10" t="s">
        <v>471</v>
      </c>
    </row>
    <row r="549" spans="1:3" ht="28.8" x14ac:dyDescent="0.3">
      <c r="A549" t="s">
        <v>109</v>
      </c>
      <c r="B549" s="2">
        <v>46113</v>
      </c>
      <c r="C549" s="10" t="s">
        <v>471</v>
      </c>
    </row>
    <row r="550" spans="1:3" x14ac:dyDescent="0.3">
      <c r="A550" t="s">
        <v>109</v>
      </c>
      <c r="B550" s="2">
        <v>46143</v>
      </c>
      <c r="C550" s="10" t="s">
        <v>858</v>
      </c>
    </row>
    <row r="551" spans="1:3" x14ac:dyDescent="0.3">
      <c r="A551" t="s">
        <v>109</v>
      </c>
      <c r="B551" s="2">
        <v>46174</v>
      </c>
      <c r="C551" s="10"/>
    </row>
    <row r="552" spans="1:3" x14ac:dyDescent="0.3">
      <c r="A552" t="s">
        <v>109</v>
      </c>
      <c r="B552" s="2">
        <v>46204</v>
      </c>
      <c r="C552" s="10"/>
    </row>
    <row r="553" spans="1:3" x14ac:dyDescent="0.3">
      <c r="A553" t="s">
        <v>109</v>
      </c>
      <c r="B553" s="2">
        <v>46235</v>
      </c>
      <c r="C553" s="10"/>
    </row>
    <row r="554" spans="1:3" x14ac:dyDescent="0.3">
      <c r="A554" t="s">
        <v>113</v>
      </c>
      <c r="B554" s="2">
        <v>45536</v>
      </c>
      <c r="C554" s="10"/>
    </row>
    <row r="555" spans="1:3" x14ac:dyDescent="0.3">
      <c r="A555" t="s">
        <v>113</v>
      </c>
      <c r="B555" s="2">
        <v>45566</v>
      </c>
      <c r="C555" s="10"/>
    </row>
    <row r="556" spans="1:3" x14ac:dyDescent="0.3">
      <c r="A556" t="s">
        <v>113</v>
      </c>
      <c r="B556" s="2">
        <v>45597</v>
      </c>
      <c r="C556" s="10"/>
    </row>
    <row r="557" spans="1:3" x14ac:dyDescent="0.3">
      <c r="A557" t="s">
        <v>113</v>
      </c>
      <c r="B557" s="2">
        <v>45627</v>
      </c>
      <c r="C557" s="10"/>
    </row>
    <row r="558" spans="1:3" x14ac:dyDescent="0.3">
      <c r="A558" t="s">
        <v>113</v>
      </c>
      <c r="B558" s="2">
        <v>45658</v>
      </c>
      <c r="C558" s="10"/>
    </row>
    <row r="559" spans="1:3" ht="43.2" customHeight="1" x14ac:dyDescent="0.3">
      <c r="A559" t="s">
        <v>113</v>
      </c>
      <c r="B559" s="2">
        <v>45689</v>
      </c>
      <c r="C559" s="10" t="s">
        <v>472</v>
      </c>
    </row>
    <row r="560" spans="1:3" ht="28.95" customHeight="1" x14ac:dyDescent="0.3">
      <c r="A560" t="s">
        <v>113</v>
      </c>
      <c r="B560" s="2">
        <v>45717</v>
      </c>
      <c r="C560" s="10" t="s">
        <v>473</v>
      </c>
    </row>
    <row r="561" spans="1:3" ht="28.95" customHeight="1" x14ac:dyDescent="0.3">
      <c r="A561" t="s">
        <v>113</v>
      </c>
      <c r="B561" s="2">
        <v>45748</v>
      </c>
      <c r="C561" s="10" t="s">
        <v>474</v>
      </c>
    </row>
    <row r="562" spans="1:3" ht="72" customHeight="1" x14ac:dyDescent="0.3">
      <c r="A562" t="s">
        <v>113</v>
      </c>
      <c r="B562" s="2">
        <v>45778</v>
      </c>
      <c r="C562" s="10" t="s">
        <v>475</v>
      </c>
    </row>
    <row r="563" spans="1:3" ht="57.6" customHeight="1" x14ac:dyDescent="0.3">
      <c r="A563" t="s">
        <v>113</v>
      </c>
      <c r="B563" s="2">
        <v>45809</v>
      </c>
      <c r="C563" s="10" t="s">
        <v>476</v>
      </c>
    </row>
    <row r="564" spans="1:3" ht="57.6" customHeight="1" x14ac:dyDescent="0.3">
      <c r="A564" t="s">
        <v>113</v>
      </c>
      <c r="B564" s="2">
        <v>45839</v>
      </c>
      <c r="C564" s="10" t="s">
        <v>477</v>
      </c>
    </row>
    <row r="565" spans="1:3" ht="57.6" customHeight="1" x14ac:dyDescent="0.3">
      <c r="A565" t="s">
        <v>113</v>
      </c>
      <c r="B565" s="2">
        <v>45870</v>
      </c>
      <c r="C565" s="10" t="s">
        <v>478</v>
      </c>
    </row>
    <row r="566" spans="1:3" ht="57.6" customHeight="1" x14ac:dyDescent="0.3">
      <c r="A566" t="s">
        <v>113</v>
      </c>
      <c r="B566" s="2">
        <v>45901</v>
      </c>
      <c r="C566" s="10" t="s">
        <v>479</v>
      </c>
    </row>
    <row r="567" spans="1:3" ht="57.6" customHeight="1" x14ac:dyDescent="0.3">
      <c r="A567" t="s">
        <v>113</v>
      </c>
      <c r="B567" s="2">
        <v>45931</v>
      </c>
      <c r="C567" s="10" t="s">
        <v>480</v>
      </c>
    </row>
    <row r="568" spans="1:3" ht="57.6" customHeight="1" x14ac:dyDescent="0.3">
      <c r="A568" t="s">
        <v>113</v>
      </c>
      <c r="B568" s="2">
        <v>45962</v>
      </c>
      <c r="C568" s="10" t="s">
        <v>481</v>
      </c>
    </row>
    <row r="569" spans="1:3" x14ac:dyDescent="0.3">
      <c r="A569" t="s">
        <v>113</v>
      </c>
      <c r="B569" s="2">
        <v>45992</v>
      </c>
      <c r="C569" s="10" t="s">
        <v>327</v>
      </c>
    </row>
    <row r="570" spans="1:3" x14ac:dyDescent="0.3">
      <c r="A570" t="s">
        <v>113</v>
      </c>
      <c r="B570" s="2">
        <v>46023</v>
      </c>
      <c r="C570" s="10" t="s">
        <v>339</v>
      </c>
    </row>
    <row r="571" spans="1:3" x14ac:dyDescent="0.3">
      <c r="A571" t="s">
        <v>113</v>
      </c>
      <c r="B571" s="2">
        <v>46054</v>
      </c>
      <c r="C571" s="10" t="s">
        <v>327</v>
      </c>
    </row>
    <row r="572" spans="1:3" x14ac:dyDescent="0.3">
      <c r="A572" t="s">
        <v>113</v>
      </c>
      <c r="B572" s="2">
        <v>46082</v>
      </c>
      <c r="C572" s="10" t="s">
        <v>327</v>
      </c>
    </row>
    <row r="573" spans="1:3" x14ac:dyDescent="0.3">
      <c r="A573" t="s">
        <v>113</v>
      </c>
      <c r="B573" s="2">
        <v>46113</v>
      </c>
      <c r="C573" s="10" t="s">
        <v>482</v>
      </c>
    </row>
    <row r="574" spans="1:3" ht="28.8" x14ac:dyDescent="0.3">
      <c r="A574" t="s">
        <v>113</v>
      </c>
      <c r="B574" s="2">
        <v>46143</v>
      </c>
      <c r="C574" s="10" t="s">
        <v>868</v>
      </c>
    </row>
    <row r="575" spans="1:3" x14ac:dyDescent="0.3">
      <c r="A575" t="s">
        <v>113</v>
      </c>
      <c r="B575" s="2">
        <v>46174</v>
      </c>
      <c r="C575" s="10"/>
    </row>
    <row r="576" spans="1:3" x14ac:dyDescent="0.3">
      <c r="A576" t="s">
        <v>113</v>
      </c>
      <c r="B576" s="2">
        <v>46204</v>
      </c>
      <c r="C576" s="10"/>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483</v>
      </c>
    </row>
    <row r="584" spans="1:8" ht="43.2" customHeight="1" x14ac:dyDescent="0.3">
      <c r="A584" t="s">
        <v>114</v>
      </c>
      <c r="B584" s="2">
        <v>45717</v>
      </c>
      <c r="C584" s="10" t="s">
        <v>484</v>
      </c>
    </row>
    <row r="585" spans="1:8" ht="57.6" customHeight="1" x14ac:dyDescent="0.3">
      <c r="A585" t="s">
        <v>114</v>
      </c>
      <c r="B585" s="2">
        <v>45748</v>
      </c>
      <c r="C585" s="10" t="s">
        <v>485</v>
      </c>
    </row>
    <row r="586" spans="1:8" ht="57.6" customHeight="1" x14ac:dyDescent="0.3">
      <c r="A586" t="s">
        <v>114</v>
      </c>
      <c r="B586" s="2">
        <v>45778</v>
      </c>
      <c r="C586" s="10" t="s">
        <v>486</v>
      </c>
    </row>
    <row r="587" spans="1:8" ht="57.6" customHeight="1" x14ac:dyDescent="0.3">
      <c r="A587" t="s">
        <v>114</v>
      </c>
      <c r="B587" s="2">
        <v>45809</v>
      </c>
      <c r="C587" s="10" t="s">
        <v>487</v>
      </c>
    </row>
    <row r="588" spans="1:8" x14ac:dyDescent="0.3">
      <c r="A588" t="s">
        <v>114</v>
      </c>
      <c r="B588" s="2">
        <v>45839</v>
      </c>
      <c r="C588" t="s">
        <v>912</v>
      </c>
      <c r="D588">
        <v>0</v>
      </c>
      <c r="E588" t="s">
        <v>33</v>
      </c>
      <c r="F588" t="s">
        <v>33</v>
      </c>
      <c r="G588" s="10" t="s">
        <v>960</v>
      </c>
      <c r="H588" t="s">
        <v>36</v>
      </c>
    </row>
    <row r="589" spans="1:8" x14ac:dyDescent="0.3">
      <c r="A589" t="s">
        <v>114</v>
      </c>
      <c r="B589" s="2">
        <v>45870</v>
      </c>
      <c r="C589" t="s">
        <v>912</v>
      </c>
      <c r="D589">
        <v>0</v>
      </c>
      <c r="E589" t="s">
        <v>33</v>
      </c>
      <c r="F589" t="s">
        <v>33</v>
      </c>
      <c r="G589" s="10" t="s">
        <v>960</v>
      </c>
      <c r="H589" t="s">
        <v>36</v>
      </c>
    </row>
    <row r="590" spans="1:8" x14ac:dyDescent="0.3">
      <c r="A590" t="s">
        <v>114</v>
      </c>
      <c r="B590" s="2">
        <v>45901</v>
      </c>
      <c r="C590" t="s">
        <v>920</v>
      </c>
      <c r="D590">
        <v>0</v>
      </c>
      <c r="E590" t="s">
        <v>33</v>
      </c>
      <c r="F590" t="s">
        <v>33</v>
      </c>
      <c r="G590" s="10" t="s">
        <v>960</v>
      </c>
      <c r="H590" t="s">
        <v>36</v>
      </c>
    </row>
    <row r="591" spans="1:8" x14ac:dyDescent="0.3">
      <c r="A591" t="s">
        <v>114</v>
      </c>
      <c r="B591" s="2">
        <v>45931</v>
      </c>
      <c r="C591" t="s">
        <v>912</v>
      </c>
      <c r="D591">
        <v>0</v>
      </c>
      <c r="E591" t="s">
        <v>33</v>
      </c>
      <c r="F591" t="s">
        <v>33</v>
      </c>
      <c r="G591" s="10" t="s">
        <v>960</v>
      </c>
      <c r="H591" t="s">
        <v>36</v>
      </c>
    </row>
    <row r="592" spans="1:8" x14ac:dyDescent="0.3">
      <c r="A592" t="s">
        <v>114</v>
      </c>
      <c r="B592" s="2">
        <v>45962</v>
      </c>
      <c r="C592" t="s">
        <v>920</v>
      </c>
      <c r="D592">
        <v>0</v>
      </c>
      <c r="E592" t="s">
        <v>33</v>
      </c>
      <c r="F592" t="s">
        <v>33</v>
      </c>
      <c r="G592" s="10" t="s">
        <v>960</v>
      </c>
      <c r="H592" t="s">
        <v>36</v>
      </c>
    </row>
    <row r="593" spans="1:8" ht="28.8" x14ac:dyDescent="0.3">
      <c r="A593" t="s">
        <v>114</v>
      </c>
      <c r="B593" s="2">
        <v>45992</v>
      </c>
      <c r="C593" t="s">
        <v>966</v>
      </c>
      <c r="D593" t="s">
        <v>965</v>
      </c>
      <c r="E593" t="s">
        <v>977</v>
      </c>
      <c r="F593" t="s">
        <v>33</v>
      </c>
      <c r="G593" s="10" t="s">
        <v>978</v>
      </c>
      <c r="H593" t="s">
        <v>36</v>
      </c>
    </row>
    <row r="594" spans="1:8" ht="28.8" x14ac:dyDescent="0.3">
      <c r="A594" t="s">
        <v>114</v>
      </c>
      <c r="B594" s="2">
        <v>46023</v>
      </c>
      <c r="C594" t="s">
        <v>903</v>
      </c>
      <c r="D594" t="s">
        <v>967</v>
      </c>
      <c r="E594" t="s">
        <v>977</v>
      </c>
      <c r="F594" t="s">
        <v>33</v>
      </c>
      <c r="G594" s="10" t="s">
        <v>488</v>
      </c>
      <c r="H594" t="s">
        <v>36</v>
      </c>
    </row>
    <row r="595" spans="1:8" x14ac:dyDescent="0.3">
      <c r="A595" t="s">
        <v>114</v>
      </c>
      <c r="B595" s="2">
        <v>46054</v>
      </c>
      <c r="C595" t="s">
        <v>896</v>
      </c>
      <c r="D595">
        <v>0</v>
      </c>
      <c r="E595" t="s">
        <v>33</v>
      </c>
      <c r="F595" t="s">
        <v>33</v>
      </c>
      <c r="G595" s="10" t="s">
        <v>960</v>
      </c>
      <c r="H595" t="s">
        <v>36</v>
      </c>
    </row>
    <row r="596" spans="1:8" x14ac:dyDescent="0.3">
      <c r="A596" t="s">
        <v>114</v>
      </c>
      <c r="B596" s="2">
        <v>46082</v>
      </c>
      <c r="C596" t="s">
        <v>912</v>
      </c>
      <c r="D596">
        <v>0</v>
      </c>
      <c r="E596" t="s">
        <v>33</v>
      </c>
      <c r="F596" t="s">
        <v>33</v>
      </c>
      <c r="G596" s="10" t="s">
        <v>960</v>
      </c>
      <c r="H596" t="s">
        <v>36</v>
      </c>
    </row>
    <row r="597" spans="1:8" ht="28.8" x14ac:dyDescent="0.3">
      <c r="A597" t="s">
        <v>114</v>
      </c>
      <c r="B597" s="2">
        <v>46113</v>
      </c>
      <c r="C597" t="s">
        <v>920</v>
      </c>
      <c r="D597">
        <v>0</v>
      </c>
      <c r="E597" t="s">
        <v>33</v>
      </c>
      <c r="F597" t="s">
        <v>33</v>
      </c>
      <c r="G597" s="10" t="s">
        <v>488</v>
      </c>
      <c r="H597" t="s">
        <v>36</v>
      </c>
    </row>
    <row r="598" spans="1:8" x14ac:dyDescent="0.3">
      <c r="A598" t="s">
        <v>114</v>
      </c>
      <c r="B598" s="2">
        <v>46143</v>
      </c>
      <c r="C598" t="s">
        <v>912</v>
      </c>
      <c r="D598">
        <v>0</v>
      </c>
      <c r="E598" t="s">
        <v>33</v>
      </c>
      <c r="F598" t="s">
        <v>33</v>
      </c>
      <c r="G598" s="10" t="s">
        <v>960</v>
      </c>
      <c r="H598" t="s">
        <v>36</v>
      </c>
    </row>
    <row r="599" spans="1:8" x14ac:dyDescent="0.3">
      <c r="A599" t="s">
        <v>107</v>
      </c>
      <c r="B599" s="2">
        <v>46174</v>
      </c>
      <c r="C599" t="s">
        <v>920</v>
      </c>
      <c r="D599">
        <v>0</v>
      </c>
      <c r="E599" t="s">
        <v>33</v>
      </c>
      <c r="F599" t="s">
        <v>33</v>
      </c>
      <c r="G599" s="10" t="s">
        <v>339</v>
      </c>
      <c r="H599" t="s">
        <v>36</v>
      </c>
    </row>
    <row r="600" spans="1:8" x14ac:dyDescent="0.3">
      <c r="A600" t="s">
        <v>114</v>
      </c>
      <c r="B600" s="2">
        <v>46204</v>
      </c>
      <c r="C600" s="10"/>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489</v>
      </c>
    </row>
    <row r="608" spans="1:8" ht="28.95" customHeight="1" x14ac:dyDescent="0.3">
      <c r="A608" t="s">
        <v>117</v>
      </c>
      <c r="B608" s="2">
        <v>45717</v>
      </c>
      <c r="C608" s="10" t="s">
        <v>490</v>
      </c>
    </row>
    <row r="609" spans="1:8" x14ac:dyDescent="0.3">
      <c r="A609" t="s">
        <v>117</v>
      </c>
      <c r="B609" s="2">
        <v>45748</v>
      </c>
      <c r="C609" s="10" t="s">
        <v>491</v>
      </c>
    </row>
    <row r="610" spans="1:8" ht="43.2" customHeight="1" x14ac:dyDescent="0.3">
      <c r="A610" t="s">
        <v>117</v>
      </c>
      <c r="B610" s="2">
        <v>45778</v>
      </c>
      <c r="C610" s="10" t="s">
        <v>492</v>
      </c>
    </row>
    <row r="611" spans="1:8" ht="43.2" customHeight="1" x14ac:dyDescent="0.3">
      <c r="A611" t="s">
        <v>117</v>
      </c>
      <c r="B611" s="2">
        <v>45809</v>
      </c>
      <c r="C611" s="10" t="s">
        <v>493</v>
      </c>
    </row>
    <row r="612" spans="1:8" ht="48" customHeight="1" x14ac:dyDescent="0.3">
      <c r="A612" t="s">
        <v>117</v>
      </c>
      <c r="B612" s="2">
        <v>45839</v>
      </c>
      <c r="C612" s="10" t="s">
        <v>966</v>
      </c>
      <c r="D612">
        <v>15</v>
      </c>
      <c r="E612" t="s">
        <v>986</v>
      </c>
      <c r="F612" t="s">
        <v>987</v>
      </c>
      <c r="G612" s="33" t="s">
        <v>988</v>
      </c>
      <c r="H612" s="10" t="s">
        <v>36</v>
      </c>
    </row>
    <row r="613" spans="1:8" ht="57.6" customHeight="1" x14ac:dyDescent="0.3">
      <c r="A613" t="s">
        <v>995</v>
      </c>
      <c r="B613" s="2">
        <v>45870</v>
      </c>
      <c r="C613" s="10" t="s">
        <v>912</v>
      </c>
      <c r="D613">
        <v>0</v>
      </c>
      <c r="E613" t="s">
        <v>33</v>
      </c>
      <c r="F613" t="s">
        <v>33</v>
      </c>
      <c r="G613" t="s">
        <v>996</v>
      </c>
      <c r="H613" s="10" t="s">
        <v>36</v>
      </c>
    </row>
    <row r="614" spans="1:8" ht="57.6" customHeight="1" x14ac:dyDescent="0.3">
      <c r="A614" t="s">
        <v>117</v>
      </c>
      <c r="B614" s="2">
        <v>45901</v>
      </c>
      <c r="C614" s="10" t="s">
        <v>920</v>
      </c>
      <c r="D614">
        <v>0</v>
      </c>
      <c r="E614" t="s">
        <v>33</v>
      </c>
      <c r="F614" t="s">
        <v>33</v>
      </c>
      <c r="G614" t="s">
        <v>996</v>
      </c>
      <c r="H614" s="10" t="s">
        <v>36</v>
      </c>
    </row>
    <row r="615" spans="1:8" ht="57.6" customHeight="1" x14ac:dyDescent="0.3">
      <c r="A615" t="s">
        <v>117</v>
      </c>
      <c r="B615" s="2">
        <v>45931</v>
      </c>
      <c r="C615" s="10" t="s">
        <v>912</v>
      </c>
      <c r="D615">
        <v>0</v>
      </c>
      <c r="E615" t="s">
        <v>33</v>
      </c>
      <c r="F615" t="s">
        <v>33</v>
      </c>
      <c r="G615" t="s">
        <v>996</v>
      </c>
      <c r="H615" s="10" t="s">
        <v>36</v>
      </c>
    </row>
    <row r="616" spans="1:8" ht="57.6" customHeight="1" x14ac:dyDescent="0.3">
      <c r="A616" t="s">
        <v>117</v>
      </c>
      <c r="B616" s="2">
        <v>45962</v>
      </c>
      <c r="C616" s="10" t="s">
        <v>920</v>
      </c>
      <c r="D616">
        <v>0</v>
      </c>
      <c r="E616" t="s">
        <v>33</v>
      </c>
      <c r="F616" t="s">
        <v>33</v>
      </c>
      <c r="G616" s="10" t="s">
        <v>998</v>
      </c>
      <c r="H616" s="10" t="s">
        <v>36</v>
      </c>
    </row>
    <row r="617" spans="1:8" x14ac:dyDescent="0.3">
      <c r="A617" t="s">
        <v>117</v>
      </c>
      <c r="B617" s="2">
        <v>45992</v>
      </c>
      <c r="C617" s="10" t="s">
        <v>912</v>
      </c>
      <c r="D617">
        <v>0</v>
      </c>
      <c r="E617" t="s">
        <v>33</v>
      </c>
      <c r="F617" t="s">
        <v>33</v>
      </c>
      <c r="G617" t="s">
        <v>996</v>
      </c>
      <c r="H617" s="10" t="s">
        <v>36</v>
      </c>
    </row>
    <row r="618" spans="1:8" ht="28.8" x14ac:dyDescent="0.3">
      <c r="A618" t="s">
        <v>117</v>
      </c>
      <c r="B618" s="2">
        <v>46023</v>
      </c>
      <c r="C618" s="10" t="s">
        <v>912</v>
      </c>
      <c r="D618">
        <v>0</v>
      </c>
      <c r="E618" t="s">
        <v>33</v>
      </c>
      <c r="F618" t="s">
        <v>33</v>
      </c>
      <c r="G618" s="10" t="s">
        <v>997</v>
      </c>
      <c r="H618" s="10" t="s">
        <v>36</v>
      </c>
    </row>
    <row r="619" spans="1:8" x14ac:dyDescent="0.3">
      <c r="A619" t="s">
        <v>117</v>
      </c>
      <c r="B619" s="2">
        <v>46054</v>
      </c>
      <c r="C619" s="10" t="s">
        <v>896</v>
      </c>
      <c r="D619">
        <v>0</v>
      </c>
      <c r="E619" t="s">
        <v>33</v>
      </c>
      <c r="F619" t="s">
        <v>33</v>
      </c>
      <c r="G619" t="s">
        <v>996</v>
      </c>
      <c r="H619" s="10" t="s">
        <v>36</v>
      </c>
    </row>
    <row r="620" spans="1:8" ht="28.8" x14ac:dyDescent="0.3">
      <c r="A620" t="s">
        <v>117</v>
      </c>
      <c r="B620" s="2">
        <v>46082</v>
      </c>
      <c r="C620" s="10" t="s">
        <v>912</v>
      </c>
      <c r="D620">
        <v>0</v>
      </c>
      <c r="E620" t="s">
        <v>33</v>
      </c>
      <c r="F620" t="s">
        <v>33</v>
      </c>
      <c r="G620" s="10" t="s">
        <v>997</v>
      </c>
      <c r="H620" s="10" t="s">
        <v>36</v>
      </c>
    </row>
    <row r="621" spans="1:8" ht="28.8" x14ac:dyDescent="0.3">
      <c r="A621" t="s">
        <v>117</v>
      </c>
      <c r="B621" s="2">
        <v>46113</v>
      </c>
      <c r="C621" s="10" t="s">
        <v>920</v>
      </c>
      <c r="D621">
        <v>0</v>
      </c>
      <c r="E621" t="s">
        <v>33</v>
      </c>
      <c r="F621" t="s">
        <v>33</v>
      </c>
      <c r="G621" s="10" t="s">
        <v>994</v>
      </c>
      <c r="H621" s="10" t="s">
        <v>36</v>
      </c>
    </row>
    <row r="622" spans="1:8" x14ac:dyDescent="0.3">
      <c r="A622" t="s">
        <v>117</v>
      </c>
      <c r="B622" s="2">
        <v>46143</v>
      </c>
      <c r="C622" s="10" t="s">
        <v>912</v>
      </c>
      <c r="D622">
        <v>0</v>
      </c>
      <c r="E622" t="s">
        <v>33</v>
      </c>
      <c r="F622" t="s">
        <v>33</v>
      </c>
      <c r="G622" t="s">
        <v>996</v>
      </c>
      <c r="H622" s="10" t="s">
        <v>36</v>
      </c>
    </row>
    <row r="623" spans="1:8" ht="28.8" x14ac:dyDescent="0.3">
      <c r="A623" t="s">
        <v>114</v>
      </c>
      <c r="B623" s="2">
        <v>46174</v>
      </c>
      <c r="C623" t="s">
        <v>920</v>
      </c>
      <c r="D623">
        <v>0</v>
      </c>
      <c r="E623" t="s">
        <v>33</v>
      </c>
      <c r="F623" t="s">
        <v>33</v>
      </c>
      <c r="G623" s="10" t="s">
        <v>997</v>
      </c>
      <c r="H623" t="s">
        <v>36</v>
      </c>
    </row>
    <row r="624" spans="1:8" x14ac:dyDescent="0.3">
      <c r="A624" t="s">
        <v>117</v>
      </c>
      <c r="B624" s="2">
        <v>46204</v>
      </c>
      <c r="C624" s="10" t="s">
        <v>912</v>
      </c>
    </row>
    <row r="625" spans="1:8" x14ac:dyDescent="0.3">
      <c r="A625" t="s">
        <v>117</v>
      </c>
      <c r="B625" s="2">
        <v>46235</v>
      </c>
      <c r="C625" s="10" t="s">
        <v>893</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921</v>
      </c>
    </row>
    <row r="637" spans="1:8" x14ac:dyDescent="0.3">
      <c r="A637" t="s">
        <v>225</v>
      </c>
      <c r="B637" s="2">
        <v>45870</v>
      </c>
      <c r="C637" s="10" t="s">
        <v>36</v>
      </c>
      <c r="D637" s="10" t="s">
        <v>36</v>
      </c>
      <c r="E637" s="10" t="s">
        <v>36</v>
      </c>
      <c r="F637" s="10" t="s">
        <v>36</v>
      </c>
      <c r="G637" s="10" t="s">
        <v>36</v>
      </c>
      <c r="H637" s="10" t="s">
        <v>921</v>
      </c>
    </row>
    <row r="638" spans="1:8" x14ac:dyDescent="0.3">
      <c r="A638" t="s">
        <v>225</v>
      </c>
      <c r="B638" s="2">
        <v>45901</v>
      </c>
      <c r="C638" s="10" t="s">
        <v>36</v>
      </c>
      <c r="D638" s="10" t="s">
        <v>36</v>
      </c>
      <c r="E638" s="10" t="s">
        <v>36</v>
      </c>
      <c r="F638" s="10" t="s">
        <v>36</v>
      </c>
      <c r="G638" s="10" t="s">
        <v>36</v>
      </c>
      <c r="H638" s="10" t="s">
        <v>921</v>
      </c>
    </row>
    <row r="639" spans="1:8" x14ac:dyDescent="0.3">
      <c r="A639" t="s">
        <v>225</v>
      </c>
      <c r="B639" s="2">
        <v>45931</v>
      </c>
      <c r="C639" s="10" t="s">
        <v>896</v>
      </c>
      <c r="D639" s="10" t="s">
        <v>976</v>
      </c>
      <c r="E639" s="10" t="s">
        <v>921</v>
      </c>
      <c r="F639" s="10" t="s">
        <v>33</v>
      </c>
      <c r="G639" s="10" t="s">
        <v>33</v>
      </c>
      <c r="H639" s="10" t="s">
        <v>921</v>
      </c>
    </row>
    <row r="640" spans="1:8" x14ac:dyDescent="0.3">
      <c r="A640" t="s">
        <v>225</v>
      </c>
      <c r="B640" s="2">
        <v>45962</v>
      </c>
      <c r="C640" s="10" t="s">
        <v>920</v>
      </c>
      <c r="D640" s="10">
        <v>0</v>
      </c>
      <c r="E640" s="10" t="s">
        <v>33</v>
      </c>
      <c r="F640" s="10" t="s">
        <v>33</v>
      </c>
      <c r="G640" s="10" t="s">
        <v>33</v>
      </c>
      <c r="H640" s="10" t="s">
        <v>36</v>
      </c>
    </row>
    <row r="641" spans="1:8" x14ac:dyDescent="0.3">
      <c r="A641" t="s">
        <v>225</v>
      </c>
      <c r="B641" s="2">
        <v>45992</v>
      </c>
      <c r="C641" s="10" t="s">
        <v>912</v>
      </c>
      <c r="D641" s="10">
        <v>0</v>
      </c>
      <c r="E641" s="10" t="s">
        <v>33</v>
      </c>
      <c r="F641" s="10" t="s">
        <v>33</v>
      </c>
      <c r="G641" s="10" t="s">
        <v>461</v>
      </c>
      <c r="H641" s="10" t="s">
        <v>36</v>
      </c>
    </row>
    <row r="642" spans="1:8" x14ac:dyDescent="0.3">
      <c r="A642" t="s">
        <v>225</v>
      </c>
      <c r="B642" s="2">
        <v>46023</v>
      </c>
      <c r="C642" s="10" t="s">
        <v>893</v>
      </c>
      <c r="D642" s="10">
        <v>0</v>
      </c>
      <c r="E642" s="10" t="s">
        <v>33</v>
      </c>
      <c r="F642" s="10" t="s">
        <v>33</v>
      </c>
      <c r="G642" s="10" t="s">
        <v>461</v>
      </c>
      <c r="H642" s="10" t="s">
        <v>36</v>
      </c>
    </row>
    <row r="643" spans="1:8" x14ac:dyDescent="0.3">
      <c r="A643" t="s">
        <v>225</v>
      </c>
      <c r="B643" s="2">
        <v>46054</v>
      </c>
      <c r="C643" s="10" t="s">
        <v>896</v>
      </c>
      <c r="D643" s="10">
        <v>0</v>
      </c>
      <c r="E643" s="10" t="s">
        <v>33</v>
      </c>
      <c r="F643" s="10" t="s">
        <v>33</v>
      </c>
      <c r="G643" s="10" t="s">
        <v>461</v>
      </c>
      <c r="H643" s="10" t="s">
        <v>36</v>
      </c>
    </row>
    <row r="644" spans="1:8" x14ac:dyDescent="0.3">
      <c r="A644" t="s">
        <v>225</v>
      </c>
      <c r="B644" s="2">
        <v>46082</v>
      </c>
      <c r="C644" s="10" t="s">
        <v>893</v>
      </c>
      <c r="D644" s="10">
        <v>0</v>
      </c>
      <c r="E644" s="10" t="s">
        <v>33</v>
      </c>
      <c r="F644" s="10" t="s">
        <v>33</v>
      </c>
      <c r="G644" s="10" t="s">
        <v>461</v>
      </c>
      <c r="H644" s="10" t="s">
        <v>36</v>
      </c>
    </row>
    <row r="645" spans="1:8" x14ac:dyDescent="0.3">
      <c r="A645" t="s">
        <v>225</v>
      </c>
      <c r="B645" s="2">
        <v>46113</v>
      </c>
      <c r="C645" s="10" t="s">
        <v>897</v>
      </c>
      <c r="D645" s="10">
        <v>0</v>
      </c>
      <c r="E645" s="10" t="s">
        <v>33</v>
      </c>
      <c r="F645" s="10" t="s">
        <v>33</v>
      </c>
      <c r="G645" s="10" t="s">
        <v>461</v>
      </c>
      <c r="H645" s="10" t="s">
        <v>36</v>
      </c>
    </row>
    <row r="646" spans="1:8" x14ac:dyDescent="0.3">
      <c r="A646" t="s">
        <v>225</v>
      </c>
      <c r="B646" s="2">
        <v>46143</v>
      </c>
      <c r="C646" s="10" t="s">
        <v>893</v>
      </c>
      <c r="D646" s="10">
        <v>0</v>
      </c>
      <c r="E646" s="10" t="s">
        <v>33</v>
      </c>
      <c r="F646" s="10" t="s">
        <v>33</v>
      </c>
      <c r="G646" s="10" t="s">
        <v>461</v>
      </c>
      <c r="H646" s="10" t="s">
        <v>36</v>
      </c>
    </row>
    <row r="647" spans="1:8" ht="28.8" x14ac:dyDescent="0.3">
      <c r="A647" t="s">
        <v>117</v>
      </c>
      <c r="B647" s="2">
        <v>46174</v>
      </c>
      <c r="C647" s="10" t="s">
        <v>920</v>
      </c>
      <c r="D647">
        <v>0</v>
      </c>
      <c r="E647" t="s">
        <v>33</v>
      </c>
      <c r="F647" t="s">
        <v>33</v>
      </c>
      <c r="G647" s="10" t="s">
        <v>997</v>
      </c>
      <c r="H647" s="10" t="s">
        <v>36</v>
      </c>
    </row>
    <row r="648" spans="1:8" x14ac:dyDescent="0.3">
      <c r="A648" t="s">
        <v>225</v>
      </c>
      <c r="B648" s="2">
        <v>46204</v>
      </c>
      <c r="C648" s="10"/>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921</v>
      </c>
    </row>
    <row r="661" spans="1:8" x14ac:dyDescent="0.3">
      <c r="A661" t="s">
        <v>223</v>
      </c>
      <c r="B661" s="2">
        <v>45870</v>
      </c>
      <c r="C661" s="10" t="s">
        <v>36</v>
      </c>
      <c r="D661" s="10" t="s">
        <v>36</v>
      </c>
      <c r="E661" s="10" t="s">
        <v>36</v>
      </c>
      <c r="F661" s="10" t="s">
        <v>36</v>
      </c>
      <c r="G661" s="10" t="s">
        <v>36</v>
      </c>
      <c r="H661" s="10" t="s">
        <v>921</v>
      </c>
    </row>
    <row r="662" spans="1:8" x14ac:dyDescent="0.3">
      <c r="A662" t="s">
        <v>223</v>
      </c>
      <c r="B662" s="2">
        <v>45901</v>
      </c>
      <c r="C662" s="10" t="s">
        <v>36</v>
      </c>
      <c r="D662" s="10" t="s">
        <v>36</v>
      </c>
      <c r="E662" s="10" t="s">
        <v>36</v>
      </c>
      <c r="F662" s="10" t="s">
        <v>36</v>
      </c>
      <c r="G662" s="10" t="s">
        <v>36</v>
      </c>
      <c r="H662" s="10" t="s">
        <v>921</v>
      </c>
    </row>
    <row r="663" spans="1:8" x14ac:dyDescent="0.3">
      <c r="A663" t="s">
        <v>223</v>
      </c>
      <c r="B663" s="2">
        <v>45931</v>
      </c>
      <c r="C663" s="10" t="s">
        <v>896</v>
      </c>
      <c r="D663" s="10" t="s">
        <v>943</v>
      </c>
      <c r="E663" s="10" t="s">
        <v>921</v>
      </c>
      <c r="F663" s="10" t="s">
        <v>33</v>
      </c>
      <c r="G663" s="10" t="s">
        <v>33</v>
      </c>
      <c r="H663" s="10" t="s">
        <v>921</v>
      </c>
    </row>
    <row r="664" spans="1:8" x14ac:dyDescent="0.3">
      <c r="A664" t="s">
        <v>223</v>
      </c>
      <c r="B664" s="2">
        <v>45962</v>
      </c>
      <c r="C664" s="10" t="s">
        <v>920</v>
      </c>
      <c r="D664" s="10">
        <v>0</v>
      </c>
      <c r="E664" s="10" t="s">
        <v>33</v>
      </c>
      <c r="F664" s="10" t="s">
        <v>33</v>
      </c>
      <c r="H664" s="10" t="s">
        <v>36</v>
      </c>
    </row>
    <row r="665" spans="1:8" x14ac:dyDescent="0.3">
      <c r="A665" t="s">
        <v>223</v>
      </c>
      <c r="B665" s="2">
        <v>45992</v>
      </c>
      <c r="C665" s="10" t="s">
        <v>912</v>
      </c>
      <c r="D665" s="10">
        <v>0</v>
      </c>
      <c r="E665" s="10" t="s">
        <v>33</v>
      </c>
      <c r="F665" s="10" t="s">
        <v>33</v>
      </c>
      <c r="G665" s="10" t="s">
        <v>494</v>
      </c>
      <c r="H665" s="10" t="s">
        <v>36</v>
      </c>
    </row>
    <row r="666" spans="1:8" ht="28.8" x14ac:dyDescent="0.3">
      <c r="A666" t="s">
        <v>223</v>
      </c>
      <c r="B666" s="2">
        <v>46023</v>
      </c>
      <c r="C666" s="10" t="s">
        <v>893</v>
      </c>
      <c r="D666" s="10">
        <v>0</v>
      </c>
      <c r="E666" s="10" t="s">
        <v>33</v>
      </c>
      <c r="F666" s="10" t="s">
        <v>33</v>
      </c>
      <c r="G666" s="10" t="s">
        <v>933</v>
      </c>
      <c r="H666" s="10" t="s">
        <v>36</v>
      </c>
    </row>
    <row r="667" spans="1:8" ht="28.8" x14ac:dyDescent="0.3">
      <c r="A667" t="s">
        <v>223</v>
      </c>
      <c r="B667" s="2">
        <v>46054</v>
      </c>
      <c r="C667" s="10" t="s">
        <v>896</v>
      </c>
      <c r="D667" s="10">
        <v>0</v>
      </c>
      <c r="E667" s="10" t="s">
        <v>33</v>
      </c>
      <c r="F667" s="10" t="s">
        <v>33</v>
      </c>
      <c r="G667" s="10" t="s">
        <v>933</v>
      </c>
      <c r="H667" s="10" t="s">
        <v>36</v>
      </c>
    </row>
    <row r="668" spans="1:8" ht="28.8" x14ac:dyDescent="0.3">
      <c r="A668" t="s">
        <v>223</v>
      </c>
      <c r="B668" s="2">
        <v>46082</v>
      </c>
      <c r="C668" s="10" t="s">
        <v>893</v>
      </c>
      <c r="D668" s="10">
        <v>0</v>
      </c>
      <c r="E668" s="10" t="s">
        <v>33</v>
      </c>
      <c r="F668" s="10" t="s">
        <v>33</v>
      </c>
      <c r="G668" s="10" t="s">
        <v>933</v>
      </c>
      <c r="H668" s="10" t="s">
        <v>36</v>
      </c>
    </row>
    <row r="669" spans="1:8" ht="28.8" x14ac:dyDescent="0.3">
      <c r="A669" t="s">
        <v>223</v>
      </c>
      <c r="B669" s="2">
        <v>46113</v>
      </c>
      <c r="C669" s="10" t="s">
        <v>897</v>
      </c>
      <c r="D669" s="10">
        <v>0</v>
      </c>
      <c r="E669" s="10" t="s">
        <v>33</v>
      </c>
      <c r="F669" s="10" t="s">
        <v>33</v>
      </c>
      <c r="G669" s="10" t="s">
        <v>933</v>
      </c>
      <c r="H669" s="10" t="s">
        <v>36</v>
      </c>
    </row>
    <row r="670" spans="1:8" ht="28.8" x14ac:dyDescent="0.3">
      <c r="A670" t="s">
        <v>223</v>
      </c>
      <c r="B670" s="2">
        <v>46143</v>
      </c>
      <c r="C670" s="10" t="s">
        <v>893</v>
      </c>
      <c r="D670" s="10">
        <v>0</v>
      </c>
      <c r="E670" s="10" t="s">
        <v>33</v>
      </c>
      <c r="F670" s="10" t="s">
        <v>33</v>
      </c>
      <c r="G670" s="10" t="s">
        <v>933</v>
      </c>
      <c r="H670" s="10" t="s">
        <v>36</v>
      </c>
    </row>
    <row r="671" spans="1:8" x14ac:dyDescent="0.3">
      <c r="A671" t="s">
        <v>225</v>
      </c>
      <c r="B671" s="2">
        <v>46174</v>
      </c>
      <c r="C671" s="10" t="s">
        <v>897</v>
      </c>
      <c r="D671" s="10">
        <v>0</v>
      </c>
      <c r="E671" s="10" t="s">
        <v>33</v>
      </c>
      <c r="F671" s="10" t="s">
        <v>33</v>
      </c>
      <c r="G671" s="10" t="s">
        <v>339</v>
      </c>
      <c r="H671" s="10" t="s">
        <v>36</v>
      </c>
    </row>
    <row r="672" spans="1:8" x14ac:dyDescent="0.3">
      <c r="A672" t="s">
        <v>223</v>
      </c>
      <c r="B672" s="2">
        <v>46204</v>
      </c>
      <c r="C672" s="10"/>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496</v>
      </c>
    </row>
    <row r="680" spans="1:3" ht="72" customHeight="1" x14ac:dyDescent="0.3">
      <c r="A680" t="s">
        <v>120</v>
      </c>
      <c r="B680" s="2">
        <v>45717</v>
      </c>
      <c r="C680" s="10" t="s">
        <v>497</v>
      </c>
    </row>
    <row r="681" spans="1:3" ht="72" customHeight="1" x14ac:dyDescent="0.3">
      <c r="A681" t="s">
        <v>120</v>
      </c>
      <c r="B681" s="2">
        <v>45748</v>
      </c>
      <c r="C681" s="10" t="s">
        <v>498</v>
      </c>
    </row>
    <row r="682" spans="1:3" ht="57.6" customHeight="1" x14ac:dyDescent="0.3">
      <c r="A682" t="s">
        <v>120</v>
      </c>
      <c r="B682" s="2">
        <v>45778</v>
      </c>
      <c r="C682" s="10" t="s">
        <v>499</v>
      </c>
    </row>
    <row r="683" spans="1:3" ht="57.6" customHeight="1" x14ac:dyDescent="0.3">
      <c r="A683" t="s">
        <v>120</v>
      </c>
      <c r="B683" s="2">
        <v>45809</v>
      </c>
      <c r="C683" s="10" t="s">
        <v>500</v>
      </c>
    </row>
    <row r="684" spans="1:3" ht="57.6" customHeight="1" x14ac:dyDescent="0.3">
      <c r="A684" t="s">
        <v>120</v>
      </c>
      <c r="B684" s="2">
        <v>45839</v>
      </c>
      <c r="C684" s="10" t="s">
        <v>501</v>
      </c>
    </row>
    <row r="685" spans="1:3" ht="57.6" customHeight="1" x14ac:dyDescent="0.3">
      <c r="A685" t="s">
        <v>120</v>
      </c>
      <c r="B685" s="2">
        <v>45870</v>
      </c>
      <c r="C685" s="10" t="s">
        <v>502</v>
      </c>
    </row>
    <row r="686" spans="1:3" ht="57.6" customHeight="1" x14ac:dyDescent="0.3">
      <c r="A686" t="s">
        <v>120</v>
      </c>
      <c r="B686" s="2">
        <v>45901</v>
      </c>
      <c r="C686" s="10" t="s">
        <v>503</v>
      </c>
    </row>
    <row r="687" spans="1:3" ht="57.6" customHeight="1" x14ac:dyDescent="0.3">
      <c r="A687" t="s">
        <v>120</v>
      </c>
      <c r="B687" s="2">
        <v>45931</v>
      </c>
      <c r="C687" s="10" t="s">
        <v>504</v>
      </c>
    </row>
    <row r="688" spans="1:3" ht="57.6" customHeight="1" x14ac:dyDescent="0.3">
      <c r="A688" t="s">
        <v>120</v>
      </c>
      <c r="B688" s="2">
        <v>45962</v>
      </c>
      <c r="C688" s="10" t="s">
        <v>505</v>
      </c>
    </row>
    <row r="689" spans="1:3" x14ac:dyDescent="0.3">
      <c r="A689" t="s">
        <v>120</v>
      </c>
      <c r="B689" s="2">
        <v>45992</v>
      </c>
      <c r="C689" s="10" t="s">
        <v>456</v>
      </c>
    </row>
    <row r="690" spans="1:3" x14ac:dyDescent="0.3">
      <c r="A690" t="s">
        <v>120</v>
      </c>
      <c r="B690" s="2">
        <v>46023</v>
      </c>
      <c r="C690" s="10" t="s">
        <v>339</v>
      </c>
    </row>
    <row r="691" spans="1:3" ht="43.2" x14ac:dyDescent="0.3">
      <c r="A691" t="s">
        <v>120</v>
      </c>
      <c r="B691" s="2">
        <v>46054</v>
      </c>
      <c r="C691" s="10" t="s">
        <v>315</v>
      </c>
    </row>
    <row r="692" spans="1:3" ht="43.2" x14ac:dyDescent="0.3">
      <c r="A692" t="s">
        <v>120</v>
      </c>
      <c r="B692" s="2">
        <v>46082</v>
      </c>
      <c r="C692" s="10" t="s">
        <v>315</v>
      </c>
    </row>
    <row r="693" spans="1:3" ht="28.8" x14ac:dyDescent="0.3">
      <c r="A693" t="s">
        <v>120</v>
      </c>
      <c r="B693" s="2">
        <v>46113</v>
      </c>
      <c r="C693" s="10" t="s">
        <v>495</v>
      </c>
    </row>
    <row r="694" spans="1:3" x14ac:dyDescent="0.3">
      <c r="A694" t="s">
        <v>120</v>
      </c>
      <c r="B694" s="2">
        <v>46143</v>
      </c>
      <c r="C694" s="10" t="s">
        <v>853</v>
      </c>
    </row>
    <row r="695" spans="1:3" x14ac:dyDescent="0.3">
      <c r="A695" t="s">
        <v>120</v>
      </c>
      <c r="B695" s="2">
        <v>46174</v>
      </c>
      <c r="C695" s="10"/>
    </row>
    <row r="696" spans="1:3" x14ac:dyDescent="0.3">
      <c r="A696" t="s">
        <v>120</v>
      </c>
      <c r="B696" s="2">
        <v>46204</v>
      </c>
      <c r="C696" s="10"/>
    </row>
    <row r="697" spans="1:3" x14ac:dyDescent="0.3">
      <c r="A697" t="s">
        <v>120</v>
      </c>
      <c r="B697" s="2">
        <v>46235</v>
      </c>
      <c r="C697" s="10"/>
    </row>
    <row r="698" spans="1:3" x14ac:dyDescent="0.3">
      <c r="A698" t="s">
        <v>122</v>
      </c>
      <c r="B698" s="2">
        <v>45536</v>
      </c>
      <c r="C698" s="10"/>
    </row>
    <row r="699" spans="1:3" x14ac:dyDescent="0.3">
      <c r="A699" t="s">
        <v>122</v>
      </c>
      <c r="B699" s="2">
        <v>45566</v>
      </c>
      <c r="C699" s="10"/>
    </row>
    <row r="700" spans="1:3" x14ac:dyDescent="0.3">
      <c r="A700" t="s">
        <v>122</v>
      </c>
      <c r="B700" s="2">
        <v>45597</v>
      </c>
      <c r="C700" s="10"/>
    </row>
    <row r="701" spans="1:3" x14ac:dyDescent="0.3">
      <c r="A701" t="s">
        <v>122</v>
      </c>
      <c r="B701" s="2">
        <v>45627</v>
      </c>
      <c r="C701" s="10"/>
    </row>
    <row r="702" spans="1:3" x14ac:dyDescent="0.3">
      <c r="A702" t="s">
        <v>122</v>
      </c>
      <c r="B702" s="2">
        <v>45658</v>
      </c>
      <c r="C702" s="10"/>
    </row>
    <row r="703" spans="1:3" ht="43.2" customHeight="1" x14ac:dyDescent="0.3">
      <c r="A703" t="s">
        <v>122</v>
      </c>
      <c r="B703" s="2">
        <v>45689</v>
      </c>
      <c r="C703" s="10" t="s">
        <v>506</v>
      </c>
    </row>
    <row r="704" spans="1:3" ht="43.2" customHeight="1" x14ac:dyDescent="0.3">
      <c r="A704" t="s">
        <v>122</v>
      </c>
      <c r="B704" s="2">
        <v>45717</v>
      </c>
      <c r="C704" s="10" t="s">
        <v>507</v>
      </c>
    </row>
    <row r="705" spans="1:3" ht="57.6" customHeight="1" x14ac:dyDescent="0.3">
      <c r="A705" t="s">
        <v>122</v>
      </c>
      <c r="B705" s="2">
        <v>45748</v>
      </c>
      <c r="C705" s="10" t="s">
        <v>508</v>
      </c>
    </row>
    <row r="706" spans="1:3" ht="57.6" customHeight="1" x14ac:dyDescent="0.3">
      <c r="A706" t="s">
        <v>122</v>
      </c>
      <c r="B706" s="2">
        <v>45778</v>
      </c>
      <c r="C706" s="10" t="s">
        <v>509</v>
      </c>
    </row>
    <row r="707" spans="1:3" ht="57.6" customHeight="1" x14ac:dyDescent="0.3">
      <c r="A707" t="s">
        <v>122</v>
      </c>
      <c r="B707" s="2">
        <v>45809</v>
      </c>
      <c r="C707" s="10" t="s">
        <v>509</v>
      </c>
    </row>
    <row r="708" spans="1:3" ht="57.6" customHeight="1" x14ac:dyDescent="0.3">
      <c r="A708" t="s">
        <v>122</v>
      </c>
      <c r="B708" s="2">
        <v>45839</v>
      </c>
      <c r="C708" s="10" t="s">
        <v>510</v>
      </c>
    </row>
    <row r="709" spans="1:3" ht="57.6" customHeight="1" x14ac:dyDescent="0.3">
      <c r="A709" t="s">
        <v>122</v>
      </c>
      <c r="B709" s="2">
        <v>45870</v>
      </c>
      <c r="C709" s="10" t="s">
        <v>511</v>
      </c>
    </row>
    <row r="710" spans="1:3" ht="72" customHeight="1" x14ac:dyDescent="0.3">
      <c r="A710" t="s">
        <v>122</v>
      </c>
      <c r="B710" s="2">
        <v>45901</v>
      </c>
      <c r="C710" s="10" t="s">
        <v>512</v>
      </c>
    </row>
    <row r="711" spans="1:3" ht="57.6" customHeight="1" x14ac:dyDescent="0.3">
      <c r="A711" t="s">
        <v>122</v>
      </c>
      <c r="B711" s="2">
        <v>45931</v>
      </c>
      <c r="C711" s="10" t="s">
        <v>513</v>
      </c>
    </row>
    <row r="712" spans="1:3" ht="57.6" customHeight="1" x14ac:dyDescent="0.3">
      <c r="A712" t="s">
        <v>122</v>
      </c>
      <c r="B712" s="2">
        <v>45962</v>
      </c>
      <c r="C712" s="10" t="s">
        <v>514</v>
      </c>
    </row>
    <row r="713" spans="1:3" x14ac:dyDescent="0.3">
      <c r="A713" t="s">
        <v>122</v>
      </c>
      <c r="B713" s="2">
        <v>45992</v>
      </c>
      <c r="C713" s="10" t="s">
        <v>327</v>
      </c>
    </row>
    <row r="714" spans="1:3" x14ac:dyDescent="0.3">
      <c r="A714" t="s">
        <v>122</v>
      </c>
      <c r="B714" s="2">
        <v>46023</v>
      </c>
      <c r="C714" s="10" t="s">
        <v>339</v>
      </c>
    </row>
    <row r="715" spans="1:3" x14ac:dyDescent="0.3">
      <c r="A715" t="s">
        <v>122</v>
      </c>
      <c r="B715" s="2">
        <v>46054</v>
      </c>
      <c r="C715" s="10" t="s">
        <v>327</v>
      </c>
    </row>
    <row r="716" spans="1:3" x14ac:dyDescent="0.3">
      <c r="A716" t="s">
        <v>122</v>
      </c>
      <c r="B716" s="2">
        <v>46082</v>
      </c>
      <c r="C716" s="10" t="s">
        <v>339</v>
      </c>
    </row>
    <row r="717" spans="1:3" x14ac:dyDescent="0.3">
      <c r="A717" t="s">
        <v>122</v>
      </c>
      <c r="B717" s="2">
        <v>46113</v>
      </c>
      <c r="C717" s="10" t="s">
        <v>303</v>
      </c>
    </row>
    <row r="718" spans="1:3" x14ac:dyDescent="0.3">
      <c r="A718" t="s">
        <v>122</v>
      </c>
      <c r="B718" s="2">
        <v>46143</v>
      </c>
      <c r="C718" s="10" t="s">
        <v>303</v>
      </c>
    </row>
    <row r="719" spans="1:3" x14ac:dyDescent="0.3">
      <c r="A719" t="s">
        <v>122</v>
      </c>
      <c r="B719" s="2">
        <v>46174</v>
      </c>
      <c r="C719" s="10"/>
    </row>
    <row r="720" spans="1:3" x14ac:dyDescent="0.3">
      <c r="A720" t="s">
        <v>122</v>
      </c>
      <c r="B720" s="2">
        <v>46204</v>
      </c>
      <c r="C720" s="10"/>
    </row>
    <row r="721" spans="1:3" x14ac:dyDescent="0.3">
      <c r="A721" t="s">
        <v>122</v>
      </c>
      <c r="B721" s="2">
        <v>46235</v>
      </c>
      <c r="C721" s="10"/>
    </row>
    <row r="722" spans="1:3" ht="28.8" x14ac:dyDescent="0.3">
      <c r="A722" t="s">
        <v>124</v>
      </c>
      <c r="B722" s="2">
        <v>45536</v>
      </c>
      <c r="C722" s="10" t="s">
        <v>515</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516</v>
      </c>
    </row>
    <row r="728" spans="1:3" ht="57.6" customHeight="1" x14ac:dyDescent="0.3">
      <c r="A728" t="s">
        <v>124</v>
      </c>
      <c r="B728" s="2">
        <v>45717</v>
      </c>
      <c r="C728" s="10" t="s">
        <v>517</v>
      </c>
    </row>
    <row r="729" spans="1:3" ht="57.6" customHeight="1" x14ac:dyDescent="0.3">
      <c r="A729" t="s">
        <v>124</v>
      </c>
      <c r="B729" s="2">
        <v>45748</v>
      </c>
      <c r="C729" s="10" t="s">
        <v>518</v>
      </c>
    </row>
    <row r="730" spans="1:3" ht="57.6" customHeight="1" x14ac:dyDescent="0.3">
      <c r="A730" t="s">
        <v>124</v>
      </c>
      <c r="B730" s="2">
        <v>45778</v>
      </c>
      <c r="C730" s="10" t="s">
        <v>519</v>
      </c>
    </row>
    <row r="731" spans="1:3" ht="57.6" customHeight="1" x14ac:dyDescent="0.3">
      <c r="A731" t="s">
        <v>124</v>
      </c>
      <c r="B731" s="2">
        <v>45809</v>
      </c>
      <c r="C731" s="10" t="s">
        <v>520</v>
      </c>
    </row>
    <row r="732" spans="1:3" ht="57.6" customHeight="1" x14ac:dyDescent="0.3">
      <c r="A732" t="s">
        <v>124</v>
      </c>
      <c r="B732" s="2">
        <v>45839</v>
      </c>
      <c r="C732" s="10" t="s">
        <v>521</v>
      </c>
    </row>
    <row r="733" spans="1:3" ht="57.6" customHeight="1" x14ac:dyDescent="0.3">
      <c r="A733" t="s">
        <v>124</v>
      </c>
      <c r="B733" s="2">
        <v>45870</v>
      </c>
      <c r="C733" s="10" t="s">
        <v>522</v>
      </c>
    </row>
    <row r="734" spans="1:3" ht="57.6" customHeight="1" x14ac:dyDescent="0.3">
      <c r="A734" t="s">
        <v>124</v>
      </c>
      <c r="B734" s="2">
        <v>45901</v>
      </c>
      <c r="C734" s="10" t="s">
        <v>523</v>
      </c>
    </row>
    <row r="735" spans="1:3" ht="57.6" customHeight="1" x14ac:dyDescent="0.3">
      <c r="A735" t="s">
        <v>124</v>
      </c>
      <c r="B735" s="2">
        <v>45931</v>
      </c>
      <c r="C735" s="10" t="s">
        <v>524</v>
      </c>
    </row>
    <row r="736" spans="1:3" ht="57.6" customHeight="1" x14ac:dyDescent="0.3">
      <c r="A736" t="s">
        <v>124</v>
      </c>
      <c r="B736" s="2">
        <v>45962</v>
      </c>
      <c r="C736" s="10" t="s">
        <v>525</v>
      </c>
    </row>
    <row r="737" spans="1:3" ht="28.8" x14ac:dyDescent="0.3">
      <c r="A737" t="s">
        <v>124</v>
      </c>
      <c r="B737" s="2">
        <v>45992</v>
      </c>
      <c r="C737" s="10" t="s">
        <v>526</v>
      </c>
    </row>
    <row r="738" spans="1:3" ht="28.8" x14ac:dyDescent="0.3">
      <c r="A738" t="s">
        <v>124</v>
      </c>
      <c r="B738" s="2">
        <v>46023</v>
      </c>
      <c r="C738" s="10" t="s">
        <v>527</v>
      </c>
    </row>
    <row r="739" spans="1:3" x14ac:dyDescent="0.3">
      <c r="A739" t="s">
        <v>124</v>
      </c>
      <c r="B739" s="2">
        <v>46054</v>
      </c>
      <c r="C739" s="10" t="s">
        <v>327</v>
      </c>
    </row>
    <row r="740" spans="1:3" x14ac:dyDescent="0.3">
      <c r="A740" t="s">
        <v>124</v>
      </c>
      <c r="B740" s="2">
        <v>46082</v>
      </c>
      <c r="C740" s="10" t="s">
        <v>327</v>
      </c>
    </row>
    <row r="741" spans="1:3" ht="28.8" x14ac:dyDescent="0.3">
      <c r="A741" t="s">
        <v>124</v>
      </c>
      <c r="B741" s="2">
        <v>46113</v>
      </c>
      <c r="C741" s="10" t="s">
        <v>528</v>
      </c>
    </row>
    <row r="742" spans="1:3" x14ac:dyDescent="0.3">
      <c r="A742" t="s">
        <v>124</v>
      </c>
      <c r="B742" s="2">
        <v>46143</v>
      </c>
      <c r="C742" s="10" t="s">
        <v>303</v>
      </c>
    </row>
    <row r="743" spans="1:3" x14ac:dyDescent="0.3">
      <c r="A743" t="s">
        <v>124</v>
      </c>
      <c r="B743" s="2">
        <v>46174</v>
      </c>
      <c r="C743" s="10"/>
    </row>
    <row r="744" spans="1:3" x14ac:dyDescent="0.3">
      <c r="A744" t="s">
        <v>124</v>
      </c>
      <c r="B744" s="2">
        <v>46204</v>
      </c>
      <c r="C744" s="10"/>
    </row>
    <row r="745" spans="1:3" x14ac:dyDescent="0.3">
      <c r="A745" t="s">
        <v>124</v>
      </c>
      <c r="B745" s="2">
        <v>46235</v>
      </c>
      <c r="C745" s="10"/>
    </row>
    <row r="746" spans="1:3" x14ac:dyDescent="0.3">
      <c r="A746" t="s">
        <v>127</v>
      </c>
      <c r="B746" s="2">
        <v>45536</v>
      </c>
      <c r="C746" s="10"/>
    </row>
    <row r="747" spans="1:3" x14ac:dyDescent="0.3">
      <c r="A747" t="s">
        <v>127</v>
      </c>
      <c r="B747" s="2">
        <v>45566</v>
      </c>
      <c r="C747" s="10"/>
    </row>
    <row r="748" spans="1:3" x14ac:dyDescent="0.3">
      <c r="A748" t="s">
        <v>127</v>
      </c>
      <c r="B748" s="2">
        <v>45597</v>
      </c>
      <c r="C748" s="10"/>
    </row>
    <row r="749" spans="1:3" x14ac:dyDescent="0.3">
      <c r="A749" t="s">
        <v>127</v>
      </c>
      <c r="B749" s="2">
        <v>45627</v>
      </c>
      <c r="C749" s="10"/>
    </row>
    <row r="750" spans="1:3" x14ac:dyDescent="0.3">
      <c r="A750" t="s">
        <v>127</v>
      </c>
      <c r="B750" s="2">
        <v>45658</v>
      </c>
      <c r="C750" s="10"/>
    </row>
    <row r="751" spans="1:3" ht="57.6" customHeight="1" x14ac:dyDescent="0.3">
      <c r="A751" t="s">
        <v>127</v>
      </c>
      <c r="B751" s="2">
        <v>45689</v>
      </c>
      <c r="C751" s="10" t="s">
        <v>529</v>
      </c>
    </row>
    <row r="752" spans="1:3" x14ac:dyDescent="0.3">
      <c r="A752" t="s">
        <v>127</v>
      </c>
      <c r="B752" s="2">
        <v>45717</v>
      </c>
      <c r="C752" s="10" t="s">
        <v>530</v>
      </c>
    </row>
    <row r="753" spans="1:8" ht="28.8" x14ac:dyDescent="0.3">
      <c r="A753" t="s">
        <v>127</v>
      </c>
      <c r="B753" s="2">
        <v>45748</v>
      </c>
      <c r="C753" s="10" t="s">
        <v>531</v>
      </c>
    </row>
    <row r="754" spans="1:8" x14ac:dyDescent="0.3">
      <c r="A754" t="s">
        <v>127</v>
      </c>
      <c r="B754" s="2">
        <v>45778</v>
      </c>
      <c r="C754" s="10" t="s">
        <v>532</v>
      </c>
    </row>
    <row r="755" spans="1:8" x14ac:dyDescent="0.3">
      <c r="A755" t="s">
        <v>127</v>
      </c>
      <c r="B755" s="2">
        <v>45809</v>
      </c>
      <c r="C755" s="10" t="s">
        <v>532</v>
      </c>
    </row>
    <row r="756" spans="1:8" ht="28.8" x14ac:dyDescent="0.3">
      <c r="A756" t="s">
        <v>127</v>
      </c>
      <c r="B756" s="2">
        <v>45839</v>
      </c>
      <c r="C756" t="s">
        <v>912</v>
      </c>
      <c r="D756">
        <v>0</v>
      </c>
      <c r="E756" t="s">
        <v>33</v>
      </c>
      <c r="F756" t="s">
        <v>975</v>
      </c>
      <c r="G756" s="10" t="s">
        <v>933</v>
      </c>
      <c r="H756" s="10" t="s">
        <v>532</v>
      </c>
    </row>
    <row r="757" spans="1:8" ht="28.8" x14ac:dyDescent="0.3">
      <c r="A757" t="s">
        <v>127</v>
      </c>
      <c r="B757" s="2">
        <v>45870</v>
      </c>
      <c r="C757" t="s">
        <v>912</v>
      </c>
      <c r="D757">
        <v>0</v>
      </c>
      <c r="E757" t="s">
        <v>33</v>
      </c>
      <c r="F757" t="s">
        <v>975</v>
      </c>
      <c r="G757" s="10" t="s">
        <v>974</v>
      </c>
      <c r="H757" s="10" t="s">
        <v>532</v>
      </c>
    </row>
    <row r="758" spans="1:8" ht="28.8" x14ac:dyDescent="0.3">
      <c r="A758" t="s">
        <v>127</v>
      </c>
      <c r="B758" s="2">
        <v>45901</v>
      </c>
      <c r="C758" t="s">
        <v>920</v>
      </c>
      <c r="D758">
        <v>0</v>
      </c>
      <c r="E758" t="s">
        <v>33</v>
      </c>
      <c r="F758" t="s">
        <v>975</v>
      </c>
      <c r="G758" s="10" t="s">
        <v>933</v>
      </c>
      <c r="H758" s="10" t="s">
        <v>532</v>
      </c>
    </row>
    <row r="759" spans="1:8" x14ac:dyDescent="0.3">
      <c r="A759" t="s">
        <v>127</v>
      </c>
      <c r="B759" s="2">
        <v>45931</v>
      </c>
      <c r="C759" t="s">
        <v>912</v>
      </c>
      <c r="D759">
        <v>0</v>
      </c>
      <c r="E759" t="s">
        <v>33</v>
      </c>
      <c r="F759" t="s">
        <v>33</v>
      </c>
      <c r="G759" s="10" t="s">
        <v>974</v>
      </c>
      <c r="H759" t="s">
        <v>36</v>
      </c>
    </row>
    <row r="760" spans="1:8" x14ac:dyDescent="0.3">
      <c r="A760" t="s">
        <v>127</v>
      </c>
      <c r="B760" s="2">
        <v>45962</v>
      </c>
      <c r="C760" t="s">
        <v>920</v>
      </c>
      <c r="D760">
        <v>0</v>
      </c>
      <c r="E760" t="s">
        <v>33</v>
      </c>
      <c r="F760" t="s">
        <v>33</v>
      </c>
      <c r="G760" s="10" t="s">
        <v>974</v>
      </c>
      <c r="H760" t="s">
        <v>36</v>
      </c>
    </row>
    <row r="761" spans="1:8" x14ac:dyDescent="0.3">
      <c r="A761" t="s">
        <v>127</v>
      </c>
      <c r="B761" s="2">
        <v>45992</v>
      </c>
      <c r="C761" t="s">
        <v>912</v>
      </c>
      <c r="D761">
        <v>0</v>
      </c>
      <c r="E761" t="s">
        <v>33</v>
      </c>
      <c r="F761" t="s">
        <v>33</v>
      </c>
      <c r="G761" s="10" t="s">
        <v>974</v>
      </c>
      <c r="H761" t="s">
        <v>36</v>
      </c>
    </row>
    <row r="762" spans="1:8" ht="28.8" x14ac:dyDescent="0.3">
      <c r="A762" t="s">
        <v>127</v>
      </c>
      <c r="B762" s="2">
        <v>46023</v>
      </c>
      <c r="C762" t="s">
        <v>912</v>
      </c>
      <c r="D762">
        <v>0</v>
      </c>
      <c r="E762" t="s">
        <v>33</v>
      </c>
      <c r="F762" t="s">
        <v>33</v>
      </c>
      <c r="G762" s="10" t="s">
        <v>933</v>
      </c>
      <c r="H762" t="s">
        <v>36</v>
      </c>
    </row>
    <row r="763" spans="1:8" x14ac:dyDescent="0.3">
      <c r="A763" t="s">
        <v>127</v>
      </c>
      <c r="B763" s="2">
        <v>46054</v>
      </c>
      <c r="C763" t="s">
        <v>896</v>
      </c>
      <c r="D763">
        <v>0</v>
      </c>
      <c r="E763" t="s">
        <v>33</v>
      </c>
      <c r="F763" t="s">
        <v>33</v>
      </c>
      <c r="G763" s="10" t="s">
        <v>327</v>
      </c>
      <c r="H763" t="s">
        <v>36</v>
      </c>
    </row>
    <row r="764" spans="1:8" ht="28.8" x14ac:dyDescent="0.3">
      <c r="A764" t="s">
        <v>127</v>
      </c>
      <c r="B764" s="2">
        <v>46082</v>
      </c>
      <c r="C764" t="s">
        <v>912</v>
      </c>
      <c r="D764">
        <v>0</v>
      </c>
      <c r="E764" t="s">
        <v>33</v>
      </c>
      <c r="F764" t="s">
        <v>33</v>
      </c>
      <c r="G764" s="21" t="s">
        <v>933</v>
      </c>
      <c r="H764" t="s">
        <v>36</v>
      </c>
    </row>
    <row r="765" spans="1:8" ht="28.8" x14ac:dyDescent="0.3">
      <c r="A765" t="s">
        <v>127</v>
      </c>
      <c r="B765" s="2">
        <v>46113</v>
      </c>
      <c r="C765" t="s">
        <v>920</v>
      </c>
      <c r="D765">
        <v>0</v>
      </c>
      <c r="E765" t="s">
        <v>33</v>
      </c>
      <c r="F765" t="s">
        <v>33</v>
      </c>
      <c r="G765" s="10" t="s">
        <v>933</v>
      </c>
      <c r="H765" t="s">
        <v>36</v>
      </c>
    </row>
    <row r="766" spans="1:8" x14ac:dyDescent="0.3">
      <c r="A766" t="s">
        <v>127</v>
      </c>
      <c r="B766" s="2">
        <v>46143</v>
      </c>
      <c r="C766" t="s">
        <v>912</v>
      </c>
      <c r="D766">
        <v>0</v>
      </c>
      <c r="E766" t="s">
        <v>33</v>
      </c>
      <c r="F766" t="s">
        <v>33</v>
      </c>
      <c r="G766" s="10" t="s">
        <v>974</v>
      </c>
      <c r="H766" t="s">
        <v>36</v>
      </c>
    </row>
    <row r="767" spans="1:8" ht="28.8" x14ac:dyDescent="0.3">
      <c r="A767" t="s">
        <v>223</v>
      </c>
      <c r="B767" s="2">
        <v>46174</v>
      </c>
      <c r="C767" s="10" t="s">
        <v>897</v>
      </c>
      <c r="D767" s="10">
        <v>0</v>
      </c>
      <c r="E767" s="10" t="s">
        <v>33</v>
      </c>
      <c r="F767" s="10" t="s">
        <v>33</v>
      </c>
      <c r="G767" s="10" t="s">
        <v>997</v>
      </c>
      <c r="H767" s="10" t="s">
        <v>36</v>
      </c>
    </row>
    <row r="768" spans="1:8" x14ac:dyDescent="0.3">
      <c r="A768" t="s">
        <v>127</v>
      </c>
      <c r="B768" s="2">
        <v>46204</v>
      </c>
      <c r="C768" s="10"/>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3" x14ac:dyDescent="0.3">
      <c r="A785" t="s">
        <v>234</v>
      </c>
      <c r="B785" s="2">
        <v>45992</v>
      </c>
      <c r="C785" s="10" t="s">
        <v>534</v>
      </c>
    </row>
    <row r="786" spans="1:3" x14ac:dyDescent="0.3">
      <c r="A786" t="s">
        <v>234</v>
      </c>
      <c r="B786" s="2">
        <v>46023</v>
      </c>
      <c r="C786" s="10" t="s">
        <v>534</v>
      </c>
    </row>
    <row r="787" spans="1:3" x14ac:dyDescent="0.3">
      <c r="A787" t="s">
        <v>234</v>
      </c>
      <c r="B787" s="2">
        <v>46054</v>
      </c>
      <c r="C787" s="10" t="s">
        <v>327</v>
      </c>
    </row>
    <row r="788" spans="1:3" x14ac:dyDescent="0.3">
      <c r="A788" t="s">
        <v>234</v>
      </c>
      <c r="B788" s="2">
        <v>46082</v>
      </c>
      <c r="C788" s="10" t="s">
        <v>327</v>
      </c>
    </row>
    <row r="789" spans="1:3" x14ac:dyDescent="0.3">
      <c r="A789" t="s">
        <v>234</v>
      </c>
      <c r="B789" s="2">
        <v>46113</v>
      </c>
      <c r="C789" s="10" t="s">
        <v>303</v>
      </c>
    </row>
    <row r="790" spans="1:3" x14ac:dyDescent="0.3">
      <c r="A790" t="s">
        <v>234</v>
      </c>
      <c r="B790" s="2">
        <v>46143</v>
      </c>
      <c r="C790" s="10" t="s">
        <v>303</v>
      </c>
    </row>
    <row r="791" spans="1:3" x14ac:dyDescent="0.3">
      <c r="A791" t="s">
        <v>234</v>
      </c>
      <c r="B791" s="2">
        <v>46174</v>
      </c>
      <c r="C791" s="10"/>
    </row>
    <row r="792" spans="1:3" x14ac:dyDescent="0.3">
      <c r="A792" t="s">
        <v>234</v>
      </c>
      <c r="B792" s="2">
        <v>46204</v>
      </c>
      <c r="C792" s="10"/>
    </row>
    <row r="793" spans="1:3" x14ac:dyDescent="0.3">
      <c r="A793" t="s">
        <v>234</v>
      </c>
      <c r="B793" s="2">
        <v>46235</v>
      </c>
      <c r="C793" s="10"/>
    </row>
    <row r="794" spans="1:3" x14ac:dyDescent="0.3">
      <c r="A794" t="s">
        <v>131</v>
      </c>
      <c r="B794" s="2">
        <v>45536</v>
      </c>
      <c r="C794" s="10"/>
    </row>
    <row r="795" spans="1:3" x14ac:dyDescent="0.3">
      <c r="A795" t="s">
        <v>131</v>
      </c>
      <c r="B795" s="2">
        <v>45566</v>
      </c>
      <c r="C795" s="10"/>
    </row>
    <row r="796" spans="1:3" x14ac:dyDescent="0.3">
      <c r="A796" t="s">
        <v>131</v>
      </c>
      <c r="B796" s="2">
        <v>45597</v>
      </c>
      <c r="C796" s="10"/>
    </row>
    <row r="797" spans="1:3" x14ac:dyDescent="0.3">
      <c r="A797" t="s">
        <v>131</v>
      </c>
      <c r="B797" s="2">
        <v>45627</v>
      </c>
      <c r="C797" s="10"/>
    </row>
    <row r="798" spans="1:3" x14ac:dyDescent="0.3">
      <c r="A798" t="s">
        <v>131</v>
      </c>
      <c r="B798" s="2">
        <v>45658</v>
      </c>
      <c r="C798" s="10"/>
    </row>
    <row r="799" spans="1:3" ht="57.6" customHeight="1" x14ac:dyDescent="0.3">
      <c r="A799" t="s">
        <v>131</v>
      </c>
      <c r="B799" s="2">
        <v>45689</v>
      </c>
      <c r="C799" s="10" t="s">
        <v>535</v>
      </c>
    </row>
    <row r="800" spans="1:3" ht="100.95" customHeight="1" x14ac:dyDescent="0.3">
      <c r="A800" t="s">
        <v>131</v>
      </c>
      <c r="B800" s="2">
        <v>45717</v>
      </c>
      <c r="C800" s="10" t="s">
        <v>536</v>
      </c>
    </row>
    <row r="801" spans="1:8" ht="72" customHeight="1" x14ac:dyDescent="0.3">
      <c r="A801" t="s">
        <v>131</v>
      </c>
      <c r="B801" s="2">
        <v>45748</v>
      </c>
      <c r="C801" s="10" t="s">
        <v>537</v>
      </c>
    </row>
    <row r="802" spans="1:8" ht="72" customHeight="1" x14ac:dyDescent="0.3">
      <c r="A802" t="s">
        <v>131</v>
      </c>
      <c r="B802" s="2">
        <v>45778</v>
      </c>
      <c r="C802" s="10" t="s">
        <v>538</v>
      </c>
    </row>
    <row r="803" spans="1:8" ht="57.6" customHeight="1" x14ac:dyDescent="0.3">
      <c r="A803" t="s">
        <v>131</v>
      </c>
      <c r="B803" s="2">
        <v>45809</v>
      </c>
      <c r="C803" s="10" t="s">
        <v>539</v>
      </c>
    </row>
    <row r="804" spans="1:8" x14ac:dyDescent="0.3">
      <c r="A804" t="s">
        <v>131</v>
      </c>
      <c r="B804" s="2">
        <v>45839</v>
      </c>
      <c r="C804" t="s">
        <v>912</v>
      </c>
      <c r="D804">
        <v>0</v>
      </c>
      <c r="E804" t="s">
        <v>33</v>
      </c>
      <c r="F804" t="s">
        <v>33</v>
      </c>
      <c r="G804" s="10" t="s">
        <v>339</v>
      </c>
      <c r="H804" t="s">
        <v>36</v>
      </c>
    </row>
    <row r="805" spans="1:8" x14ac:dyDescent="0.3">
      <c r="A805" t="s">
        <v>131</v>
      </c>
      <c r="B805" s="2">
        <v>45870</v>
      </c>
      <c r="C805" t="s">
        <v>912</v>
      </c>
      <c r="D805">
        <v>0</v>
      </c>
      <c r="E805" t="s">
        <v>33</v>
      </c>
      <c r="F805" t="s">
        <v>33</v>
      </c>
      <c r="G805" s="10" t="s">
        <v>339</v>
      </c>
      <c r="H805" t="s">
        <v>36</v>
      </c>
    </row>
    <row r="806" spans="1:8" x14ac:dyDescent="0.3">
      <c r="A806" t="s">
        <v>131</v>
      </c>
      <c r="B806" s="2">
        <v>45901</v>
      </c>
      <c r="C806" t="s">
        <v>920</v>
      </c>
      <c r="D806">
        <v>0</v>
      </c>
      <c r="E806" t="s">
        <v>33</v>
      </c>
      <c r="F806" t="s">
        <v>33</v>
      </c>
      <c r="G806" s="10" t="s">
        <v>339</v>
      </c>
      <c r="H806" t="s">
        <v>36</v>
      </c>
    </row>
    <row r="807" spans="1:8" x14ac:dyDescent="0.3">
      <c r="A807" t="s">
        <v>131</v>
      </c>
      <c r="B807" s="2">
        <v>45931</v>
      </c>
      <c r="C807" t="s">
        <v>912</v>
      </c>
      <c r="D807">
        <v>0</v>
      </c>
      <c r="E807" t="s">
        <v>33</v>
      </c>
      <c r="F807" t="s">
        <v>33</v>
      </c>
      <c r="G807" s="10" t="s">
        <v>339</v>
      </c>
      <c r="H807" t="s">
        <v>36</v>
      </c>
    </row>
    <row r="808" spans="1:8" x14ac:dyDescent="0.3">
      <c r="A808" t="s">
        <v>131</v>
      </c>
      <c r="B808" s="2">
        <v>45962</v>
      </c>
      <c r="C808" t="s">
        <v>920</v>
      </c>
      <c r="D808">
        <v>0</v>
      </c>
      <c r="E808" t="s">
        <v>33</v>
      </c>
      <c r="F808" t="s">
        <v>33</v>
      </c>
      <c r="G808" s="10" t="s">
        <v>339</v>
      </c>
      <c r="H808" t="s">
        <v>36</v>
      </c>
    </row>
    <row r="809" spans="1:8" x14ac:dyDescent="0.3">
      <c r="A809" t="s">
        <v>131</v>
      </c>
      <c r="B809" s="2">
        <v>45992</v>
      </c>
      <c r="C809" t="s">
        <v>912</v>
      </c>
      <c r="D809">
        <v>0</v>
      </c>
      <c r="E809" t="s">
        <v>33</v>
      </c>
      <c r="F809" t="s">
        <v>33</v>
      </c>
      <c r="G809" s="10" t="s">
        <v>339</v>
      </c>
      <c r="H809" t="s">
        <v>36</v>
      </c>
    </row>
    <row r="810" spans="1:8" x14ac:dyDescent="0.3">
      <c r="A810" t="s">
        <v>131</v>
      </c>
      <c r="B810" s="2">
        <v>46023</v>
      </c>
      <c r="C810" t="s">
        <v>912</v>
      </c>
      <c r="D810">
        <v>0</v>
      </c>
      <c r="E810" t="s">
        <v>33</v>
      </c>
      <c r="F810" t="s">
        <v>33</v>
      </c>
      <c r="G810" s="10" t="s">
        <v>339</v>
      </c>
      <c r="H810" t="s">
        <v>36</v>
      </c>
    </row>
    <row r="811" spans="1:8" x14ac:dyDescent="0.3">
      <c r="A811" t="s">
        <v>131</v>
      </c>
      <c r="B811" s="2">
        <v>46054</v>
      </c>
      <c r="C811" t="s">
        <v>896</v>
      </c>
      <c r="D811">
        <v>0</v>
      </c>
      <c r="E811" t="s">
        <v>33</v>
      </c>
      <c r="F811" t="s">
        <v>33</v>
      </c>
      <c r="G811" s="10" t="s">
        <v>339</v>
      </c>
      <c r="H811" t="s">
        <v>36</v>
      </c>
    </row>
    <row r="812" spans="1:8" x14ac:dyDescent="0.3">
      <c r="A812" t="s">
        <v>131</v>
      </c>
      <c r="B812" s="2">
        <v>46082</v>
      </c>
      <c r="C812" t="s">
        <v>912</v>
      </c>
      <c r="D812">
        <v>0</v>
      </c>
      <c r="E812" t="s">
        <v>33</v>
      </c>
      <c r="F812" t="s">
        <v>33</v>
      </c>
      <c r="G812" s="10" t="s">
        <v>339</v>
      </c>
      <c r="H812" t="s">
        <v>36</v>
      </c>
    </row>
    <row r="813" spans="1:8" x14ac:dyDescent="0.3">
      <c r="A813" t="s">
        <v>131</v>
      </c>
      <c r="B813" s="2">
        <v>46113</v>
      </c>
      <c r="C813" t="s">
        <v>920</v>
      </c>
      <c r="D813">
        <v>0</v>
      </c>
      <c r="E813" t="s">
        <v>33</v>
      </c>
      <c r="F813" t="s">
        <v>33</v>
      </c>
      <c r="G813" s="10" t="s">
        <v>339</v>
      </c>
      <c r="H813" t="s">
        <v>36</v>
      </c>
    </row>
    <row r="814" spans="1:8" x14ac:dyDescent="0.3">
      <c r="A814" t="s">
        <v>131</v>
      </c>
      <c r="B814" s="2">
        <v>46143</v>
      </c>
      <c r="C814" t="s">
        <v>912</v>
      </c>
      <c r="D814">
        <v>0</v>
      </c>
      <c r="E814" t="s">
        <v>33</v>
      </c>
      <c r="F814" t="s">
        <v>33</v>
      </c>
      <c r="G814" s="10" t="s">
        <v>339</v>
      </c>
      <c r="H814" t="s">
        <v>36</v>
      </c>
    </row>
    <row r="815" spans="1:8" ht="28.8" x14ac:dyDescent="0.3">
      <c r="A815" t="s">
        <v>127</v>
      </c>
      <c r="B815" s="2">
        <v>46174</v>
      </c>
      <c r="C815" t="s">
        <v>920</v>
      </c>
      <c r="D815">
        <v>0</v>
      </c>
      <c r="E815" t="s">
        <v>33</v>
      </c>
      <c r="F815" t="s">
        <v>33</v>
      </c>
      <c r="G815" s="10" t="s">
        <v>997</v>
      </c>
      <c r="H815" t="s">
        <v>36</v>
      </c>
    </row>
    <row r="816" spans="1:8" x14ac:dyDescent="0.3">
      <c r="A816" t="s">
        <v>131</v>
      </c>
      <c r="B816" s="2">
        <v>46204</v>
      </c>
      <c r="C816" s="10"/>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540</v>
      </c>
    </row>
    <row r="824" spans="1:3" ht="57.6" customHeight="1" x14ac:dyDescent="0.3">
      <c r="A824" t="s">
        <v>134</v>
      </c>
      <c r="B824" s="2">
        <v>45717</v>
      </c>
      <c r="C824" s="10" t="s">
        <v>541</v>
      </c>
    </row>
    <row r="825" spans="1:3" ht="57.6" customHeight="1" x14ac:dyDescent="0.3">
      <c r="A825" t="s">
        <v>134</v>
      </c>
      <c r="B825" s="2">
        <v>45748</v>
      </c>
      <c r="C825" s="10" t="s">
        <v>542</v>
      </c>
    </row>
    <row r="826" spans="1:3" ht="57.6" customHeight="1" x14ac:dyDescent="0.3">
      <c r="A826" t="s">
        <v>134</v>
      </c>
      <c r="B826" s="2">
        <v>45778</v>
      </c>
      <c r="C826" s="10" t="s">
        <v>543</v>
      </c>
    </row>
    <row r="827" spans="1:3" ht="57.6" customHeight="1" x14ac:dyDescent="0.3">
      <c r="A827" t="s">
        <v>134</v>
      </c>
      <c r="B827" s="2">
        <v>45809</v>
      </c>
      <c r="C827" s="10" t="s">
        <v>544</v>
      </c>
    </row>
    <row r="828" spans="1:3" ht="57.6" customHeight="1" x14ac:dyDescent="0.3">
      <c r="A828" t="s">
        <v>134</v>
      </c>
      <c r="B828" s="2">
        <v>45839</v>
      </c>
      <c r="C828" s="10" t="s">
        <v>545</v>
      </c>
    </row>
    <row r="829" spans="1:3" ht="57.6" customHeight="1" x14ac:dyDescent="0.3">
      <c r="A829" t="s">
        <v>134</v>
      </c>
      <c r="B829" s="2">
        <v>45870</v>
      </c>
      <c r="C829" s="10" t="s">
        <v>546</v>
      </c>
    </row>
    <row r="830" spans="1:3" ht="57.6" customHeight="1" x14ac:dyDescent="0.3">
      <c r="A830" t="s">
        <v>134</v>
      </c>
      <c r="B830" s="2">
        <v>45901</v>
      </c>
      <c r="C830" s="10" t="s">
        <v>547</v>
      </c>
    </row>
    <row r="831" spans="1:3" ht="57.6" customHeight="1" x14ac:dyDescent="0.3">
      <c r="A831" t="s">
        <v>134</v>
      </c>
      <c r="B831" s="2">
        <v>45931</v>
      </c>
      <c r="C831" s="10" t="s">
        <v>548</v>
      </c>
    </row>
    <row r="832" spans="1:3" ht="57.6" customHeight="1" x14ac:dyDescent="0.3">
      <c r="A832" t="s">
        <v>134</v>
      </c>
      <c r="B832" s="2">
        <v>45962</v>
      </c>
      <c r="C832" s="10" t="s">
        <v>549</v>
      </c>
    </row>
    <row r="833" spans="1:3" x14ac:dyDescent="0.3">
      <c r="A833" t="s">
        <v>134</v>
      </c>
      <c r="B833" s="2">
        <v>45992</v>
      </c>
      <c r="C833" s="10" t="s">
        <v>456</v>
      </c>
    </row>
    <row r="834" spans="1:3" x14ac:dyDescent="0.3">
      <c r="A834" t="s">
        <v>134</v>
      </c>
      <c r="B834" s="2">
        <v>46023</v>
      </c>
      <c r="C834" s="10" t="s">
        <v>339</v>
      </c>
    </row>
    <row r="835" spans="1:3" x14ac:dyDescent="0.3">
      <c r="A835" t="s">
        <v>134</v>
      </c>
      <c r="B835" s="2">
        <v>46054</v>
      </c>
      <c r="C835" s="10" t="s">
        <v>327</v>
      </c>
    </row>
    <row r="836" spans="1:3" x14ac:dyDescent="0.3">
      <c r="A836" t="s">
        <v>134</v>
      </c>
      <c r="B836" s="2">
        <v>46082</v>
      </c>
      <c r="C836" s="10" t="s">
        <v>327</v>
      </c>
    </row>
    <row r="837" spans="1:3" x14ac:dyDescent="0.3">
      <c r="A837" t="s">
        <v>134</v>
      </c>
      <c r="B837" s="2">
        <v>46113</v>
      </c>
      <c r="C837" s="10" t="s">
        <v>533</v>
      </c>
    </row>
    <row r="838" spans="1:3" x14ac:dyDescent="0.3">
      <c r="A838" t="s">
        <v>134</v>
      </c>
      <c r="B838" s="2">
        <v>46143</v>
      </c>
      <c r="C838" s="10" t="s">
        <v>303</v>
      </c>
    </row>
    <row r="839" spans="1:3" x14ac:dyDescent="0.3">
      <c r="A839" t="s">
        <v>134</v>
      </c>
      <c r="B839" s="2">
        <v>46174</v>
      </c>
      <c r="C839" s="10"/>
    </row>
    <row r="840" spans="1:3" x14ac:dyDescent="0.3">
      <c r="A840" t="s">
        <v>134</v>
      </c>
      <c r="B840" s="2">
        <v>46204</v>
      </c>
      <c r="C840" s="10"/>
    </row>
    <row r="841" spans="1:3" x14ac:dyDescent="0.3">
      <c r="A841" t="s">
        <v>134</v>
      </c>
      <c r="B841" s="2">
        <v>46235</v>
      </c>
      <c r="C841" s="10"/>
    </row>
    <row r="842" spans="1:3" x14ac:dyDescent="0.3">
      <c r="A842" t="s">
        <v>138</v>
      </c>
      <c r="B842" s="2">
        <v>45536</v>
      </c>
      <c r="C842" s="10"/>
    </row>
    <row r="843" spans="1:3" x14ac:dyDescent="0.3">
      <c r="A843" t="s">
        <v>138</v>
      </c>
      <c r="B843" s="2">
        <v>45566</v>
      </c>
      <c r="C843" s="10"/>
    </row>
    <row r="844" spans="1:3" x14ac:dyDescent="0.3">
      <c r="A844" t="s">
        <v>138</v>
      </c>
      <c r="B844" s="2">
        <v>45597</v>
      </c>
      <c r="C844" s="10"/>
    </row>
    <row r="845" spans="1:3" x14ac:dyDescent="0.3">
      <c r="A845" t="s">
        <v>138</v>
      </c>
      <c r="B845" s="2">
        <v>45627</v>
      </c>
      <c r="C845" s="10"/>
    </row>
    <row r="846" spans="1:3" x14ac:dyDescent="0.3">
      <c r="A846" t="s">
        <v>138</v>
      </c>
      <c r="B846" s="2">
        <v>45658</v>
      </c>
      <c r="C846" s="10"/>
    </row>
    <row r="847" spans="1:3" ht="43.2" customHeight="1" x14ac:dyDescent="0.3">
      <c r="A847" t="s">
        <v>138</v>
      </c>
      <c r="B847" s="2">
        <v>45689</v>
      </c>
      <c r="C847" s="10" t="s">
        <v>550</v>
      </c>
    </row>
    <row r="848" spans="1:3" x14ac:dyDescent="0.3">
      <c r="A848" t="s">
        <v>138</v>
      </c>
      <c r="B848" s="2">
        <v>45717</v>
      </c>
      <c r="C848" s="10"/>
    </row>
    <row r="849" spans="1:3" x14ac:dyDescent="0.3">
      <c r="A849" t="s">
        <v>138</v>
      </c>
      <c r="B849" s="2">
        <v>45748</v>
      </c>
      <c r="C849" s="10"/>
    </row>
    <row r="850" spans="1:3" x14ac:dyDescent="0.3">
      <c r="A850" t="s">
        <v>138</v>
      </c>
      <c r="B850" s="2">
        <v>45778</v>
      </c>
      <c r="C850" s="10" t="s">
        <v>551</v>
      </c>
    </row>
    <row r="851" spans="1:3" x14ac:dyDescent="0.3">
      <c r="A851" t="s">
        <v>138</v>
      </c>
      <c r="B851" s="2">
        <v>45809</v>
      </c>
      <c r="C851" s="10" t="s">
        <v>551</v>
      </c>
    </row>
    <row r="852" spans="1:3" x14ac:dyDescent="0.3">
      <c r="A852" t="s">
        <v>138</v>
      </c>
      <c r="B852" s="2">
        <v>45839</v>
      </c>
      <c r="C852" s="10" t="s">
        <v>551</v>
      </c>
    </row>
    <row r="853" spans="1:3" x14ac:dyDescent="0.3">
      <c r="A853" t="s">
        <v>138</v>
      </c>
      <c r="B853" s="2">
        <v>45870</v>
      </c>
      <c r="C853" s="10" t="s">
        <v>551</v>
      </c>
    </row>
    <row r="854" spans="1:3" x14ac:dyDescent="0.3">
      <c r="A854" t="s">
        <v>138</v>
      </c>
      <c r="B854" s="2">
        <v>45901</v>
      </c>
      <c r="C854" s="10" t="s">
        <v>551</v>
      </c>
    </row>
    <row r="855" spans="1:3" x14ac:dyDescent="0.3">
      <c r="A855" t="s">
        <v>138</v>
      </c>
      <c r="B855" s="2">
        <v>45931</v>
      </c>
      <c r="C855" s="10" t="s">
        <v>551</v>
      </c>
    </row>
    <row r="856" spans="1:3" x14ac:dyDescent="0.3">
      <c r="A856" t="s">
        <v>138</v>
      </c>
      <c r="B856" s="2">
        <v>45962</v>
      </c>
      <c r="C856" s="10" t="s">
        <v>551</v>
      </c>
    </row>
    <row r="857" spans="1:3" x14ac:dyDescent="0.3">
      <c r="A857" t="s">
        <v>138</v>
      </c>
      <c r="B857" s="2">
        <v>45992</v>
      </c>
      <c r="C857" s="10" t="s">
        <v>551</v>
      </c>
    </row>
    <row r="858" spans="1:3" x14ac:dyDescent="0.3">
      <c r="A858" t="s">
        <v>138</v>
      </c>
      <c r="B858" s="2">
        <v>46023</v>
      </c>
      <c r="C858" s="10" t="s">
        <v>551</v>
      </c>
    </row>
    <row r="859" spans="1:3" x14ac:dyDescent="0.3">
      <c r="A859" t="s">
        <v>138</v>
      </c>
      <c r="B859" s="2">
        <v>46054</v>
      </c>
      <c r="C859" s="10" t="s">
        <v>327</v>
      </c>
    </row>
    <row r="860" spans="1:3" ht="28.8" x14ac:dyDescent="0.3">
      <c r="A860" t="s">
        <v>138</v>
      </c>
      <c r="B860" s="2">
        <v>46082</v>
      </c>
      <c r="C860" s="10" t="s">
        <v>552</v>
      </c>
    </row>
    <row r="861" spans="1:3" x14ac:dyDescent="0.3">
      <c r="A861" t="s">
        <v>138</v>
      </c>
      <c r="B861" s="2">
        <v>46113</v>
      </c>
      <c r="C861" s="10" t="s">
        <v>553</v>
      </c>
    </row>
    <row r="862" spans="1:3" x14ac:dyDescent="0.3">
      <c r="A862" t="s">
        <v>138</v>
      </c>
      <c r="B862" s="2">
        <v>46143</v>
      </c>
      <c r="C862" s="10" t="s">
        <v>859</v>
      </c>
    </row>
    <row r="863" spans="1:3" x14ac:dyDescent="0.3">
      <c r="A863" t="s">
        <v>138</v>
      </c>
      <c r="B863" s="2">
        <v>46174</v>
      </c>
      <c r="C863" s="10"/>
    </row>
    <row r="864" spans="1:3" x14ac:dyDescent="0.3">
      <c r="A864" t="s">
        <v>138</v>
      </c>
      <c r="B864" s="2">
        <v>46204</v>
      </c>
      <c r="C864" s="10"/>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921</v>
      </c>
    </row>
    <row r="877" spans="1:8" x14ac:dyDescent="0.3">
      <c r="A877" t="s">
        <v>220</v>
      </c>
      <c r="B877" s="2">
        <v>45870</v>
      </c>
      <c r="C877" s="10" t="s">
        <v>36</v>
      </c>
      <c r="D877" t="s">
        <v>36</v>
      </c>
      <c r="E877" t="s">
        <v>36</v>
      </c>
      <c r="F877" t="s">
        <v>36</v>
      </c>
      <c r="G877" t="s">
        <v>36</v>
      </c>
      <c r="H877" t="s">
        <v>921</v>
      </c>
    </row>
    <row r="878" spans="1:8" x14ac:dyDescent="0.3">
      <c r="A878" t="s">
        <v>220</v>
      </c>
      <c r="B878" s="2">
        <v>45901</v>
      </c>
      <c r="C878" s="10" t="s">
        <v>922</v>
      </c>
      <c r="D878" t="s">
        <v>923</v>
      </c>
      <c r="E878" t="s">
        <v>924</v>
      </c>
      <c r="F878" t="s">
        <v>33</v>
      </c>
      <c r="G878" t="s">
        <v>913</v>
      </c>
      <c r="H878" t="s">
        <v>36</v>
      </c>
    </row>
    <row r="879" spans="1:8" ht="28.95" customHeight="1" x14ac:dyDescent="0.3">
      <c r="A879" t="s">
        <v>220</v>
      </c>
      <c r="B879" s="2">
        <v>45931</v>
      </c>
      <c r="C879" s="10" t="s">
        <v>912</v>
      </c>
      <c r="D879">
        <v>0</v>
      </c>
      <c r="E879" t="s">
        <v>33</v>
      </c>
      <c r="F879" t="s">
        <v>33</v>
      </c>
      <c r="G879" t="s">
        <v>33</v>
      </c>
      <c r="H879" t="s">
        <v>36</v>
      </c>
    </row>
    <row r="880" spans="1:8" ht="43.2" customHeight="1" x14ac:dyDescent="0.3">
      <c r="A880" t="s">
        <v>220</v>
      </c>
      <c r="B880" s="2">
        <v>45962</v>
      </c>
      <c r="C880" s="10" t="s">
        <v>897</v>
      </c>
      <c r="D880">
        <v>0</v>
      </c>
      <c r="E880" t="s">
        <v>33</v>
      </c>
      <c r="F880" t="s">
        <v>33</v>
      </c>
      <c r="G880" t="s">
        <v>33</v>
      </c>
      <c r="H880" t="s">
        <v>36</v>
      </c>
    </row>
    <row r="881" spans="1:8" x14ac:dyDescent="0.3">
      <c r="A881" t="s">
        <v>220</v>
      </c>
      <c r="B881" s="2">
        <v>45992</v>
      </c>
      <c r="C881" s="10" t="s">
        <v>926</v>
      </c>
      <c r="D881" t="s">
        <v>925</v>
      </c>
      <c r="E881" t="s">
        <v>928</v>
      </c>
      <c r="F881" t="s">
        <v>33</v>
      </c>
      <c r="G881" t="s">
        <v>927</v>
      </c>
      <c r="H881" t="s">
        <v>36</v>
      </c>
    </row>
    <row r="882" spans="1:8" x14ac:dyDescent="0.3">
      <c r="A882" t="s">
        <v>220</v>
      </c>
      <c r="B882" s="2">
        <v>46023</v>
      </c>
      <c r="C882" t="s">
        <v>893</v>
      </c>
      <c r="D882">
        <v>0</v>
      </c>
      <c r="E882" t="s">
        <v>33</v>
      </c>
      <c r="F882" t="s">
        <v>913</v>
      </c>
      <c r="G882" s="10" t="s">
        <v>339</v>
      </c>
      <c r="H882" t="s">
        <v>36</v>
      </c>
    </row>
    <row r="883" spans="1:8" ht="43.2" x14ac:dyDescent="0.3">
      <c r="A883" t="s">
        <v>220</v>
      </c>
      <c r="B883" s="2">
        <v>46054</v>
      </c>
      <c r="C883" s="10" t="s">
        <v>904</v>
      </c>
      <c r="D883">
        <v>0</v>
      </c>
      <c r="E883" t="s">
        <v>33</v>
      </c>
      <c r="F883" t="s">
        <v>913</v>
      </c>
      <c r="G883" s="10" t="s">
        <v>315</v>
      </c>
      <c r="H883" t="s">
        <v>36</v>
      </c>
    </row>
    <row r="884" spans="1:8" ht="43.2" x14ac:dyDescent="0.3">
      <c r="A884" t="s">
        <v>220</v>
      </c>
      <c r="B884" s="2">
        <v>46082</v>
      </c>
      <c r="C884" s="10" t="s">
        <v>893</v>
      </c>
      <c r="D884">
        <v>0</v>
      </c>
      <c r="E884" t="s">
        <v>33</v>
      </c>
      <c r="F884" t="s">
        <v>913</v>
      </c>
      <c r="G884" s="10" t="s">
        <v>315</v>
      </c>
      <c r="H884" t="s">
        <v>36</v>
      </c>
    </row>
    <row r="885" spans="1:8" ht="43.2" x14ac:dyDescent="0.3">
      <c r="A885" t="s">
        <v>220</v>
      </c>
      <c r="B885" s="2">
        <v>46113</v>
      </c>
      <c r="C885" s="10" t="s">
        <v>897</v>
      </c>
      <c r="D885">
        <v>0</v>
      </c>
      <c r="E885" t="s">
        <v>33</v>
      </c>
      <c r="F885" t="s">
        <v>913</v>
      </c>
      <c r="G885" s="10" t="s">
        <v>315</v>
      </c>
      <c r="H885" t="s">
        <v>36</v>
      </c>
    </row>
    <row r="886" spans="1:8" x14ac:dyDescent="0.3">
      <c r="A886" t="s">
        <v>220</v>
      </c>
      <c r="B886" s="2">
        <v>46143</v>
      </c>
      <c r="C886" s="10" t="s">
        <v>912</v>
      </c>
      <c r="D886">
        <v>0</v>
      </c>
      <c r="E886" t="s">
        <v>33</v>
      </c>
      <c r="F886" t="s">
        <v>913</v>
      </c>
      <c r="G886" s="10" t="s">
        <v>303</v>
      </c>
      <c r="H886" t="s">
        <v>36</v>
      </c>
    </row>
    <row r="887" spans="1:8" x14ac:dyDescent="0.3">
      <c r="A887" t="s">
        <v>131</v>
      </c>
      <c r="B887" s="2">
        <v>46174</v>
      </c>
      <c r="C887" t="s">
        <v>920</v>
      </c>
      <c r="D887">
        <v>0</v>
      </c>
      <c r="E887" t="s">
        <v>33</v>
      </c>
      <c r="F887" t="s">
        <v>33</v>
      </c>
      <c r="G887" s="10" t="s">
        <v>339</v>
      </c>
      <c r="H887" t="s">
        <v>36</v>
      </c>
    </row>
    <row r="888" spans="1:8" x14ac:dyDescent="0.3">
      <c r="A888" t="s">
        <v>220</v>
      </c>
      <c r="B888" s="2">
        <v>46204</v>
      </c>
      <c r="C888" s="10"/>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921</v>
      </c>
    </row>
    <row r="901" spans="1:8" x14ac:dyDescent="0.3">
      <c r="A901" t="s">
        <v>222</v>
      </c>
      <c r="B901" s="2">
        <v>45870</v>
      </c>
      <c r="C901" s="10" t="s">
        <v>36</v>
      </c>
      <c r="D901" t="s">
        <v>36</v>
      </c>
      <c r="E901" t="s">
        <v>36</v>
      </c>
      <c r="F901" t="s">
        <v>36</v>
      </c>
      <c r="H901" t="s">
        <v>921</v>
      </c>
    </row>
    <row r="902" spans="1:8" x14ac:dyDescent="0.3">
      <c r="A902" t="s">
        <v>222</v>
      </c>
      <c r="B902" s="2">
        <v>45901</v>
      </c>
      <c r="C902" s="10" t="s">
        <v>922</v>
      </c>
      <c r="D902" t="s">
        <v>923</v>
      </c>
      <c r="E902" t="s">
        <v>924</v>
      </c>
      <c r="F902" t="s">
        <v>33</v>
      </c>
      <c r="H902" t="s">
        <v>36</v>
      </c>
    </row>
    <row r="903" spans="1:8" x14ac:dyDescent="0.3">
      <c r="A903" t="s">
        <v>222</v>
      </c>
      <c r="B903" s="2">
        <v>45931</v>
      </c>
      <c r="C903" s="10" t="s">
        <v>912</v>
      </c>
      <c r="D903">
        <v>0</v>
      </c>
      <c r="E903" t="s">
        <v>33</v>
      </c>
      <c r="F903" t="s">
        <v>33</v>
      </c>
      <c r="G903" s="10" t="s">
        <v>929</v>
      </c>
      <c r="H903" t="s">
        <v>36</v>
      </c>
    </row>
    <row r="904" spans="1:8" x14ac:dyDescent="0.3">
      <c r="A904" t="s">
        <v>222</v>
      </c>
      <c r="B904" s="2">
        <v>45962</v>
      </c>
      <c r="C904" s="10" t="s">
        <v>897</v>
      </c>
      <c r="D904">
        <v>0</v>
      </c>
      <c r="E904" t="s">
        <v>33</v>
      </c>
      <c r="F904" t="s">
        <v>33</v>
      </c>
      <c r="G904" s="10" t="s">
        <v>929</v>
      </c>
      <c r="H904" t="s">
        <v>36</v>
      </c>
    </row>
    <row r="905" spans="1:8" x14ac:dyDescent="0.3">
      <c r="A905" t="s">
        <v>222</v>
      </c>
      <c r="B905" s="2">
        <v>45992</v>
      </c>
      <c r="C905" s="10" t="s">
        <v>926</v>
      </c>
      <c r="D905" t="s">
        <v>925</v>
      </c>
      <c r="E905" t="s">
        <v>928</v>
      </c>
      <c r="F905" t="s">
        <v>33</v>
      </c>
      <c r="G905" s="10" t="s">
        <v>927</v>
      </c>
      <c r="H905" t="s">
        <v>36</v>
      </c>
    </row>
    <row r="906" spans="1:8" x14ac:dyDescent="0.3">
      <c r="A906" t="s">
        <v>222</v>
      </c>
      <c r="B906" s="2">
        <v>46023</v>
      </c>
      <c r="C906" t="s">
        <v>893</v>
      </c>
      <c r="D906">
        <v>0</v>
      </c>
      <c r="E906" t="s">
        <v>33</v>
      </c>
      <c r="F906" t="s">
        <v>913</v>
      </c>
      <c r="G906" s="10" t="s">
        <v>339</v>
      </c>
      <c r="H906" t="s">
        <v>36</v>
      </c>
    </row>
    <row r="907" spans="1:8" ht="43.2" x14ac:dyDescent="0.3">
      <c r="A907" t="s">
        <v>222</v>
      </c>
      <c r="B907" s="2">
        <v>46054</v>
      </c>
      <c r="C907" s="10" t="s">
        <v>904</v>
      </c>
      <c r="D907">
        <v>0</v>
      </c>
      <c r="E907" t="s">
        <v>33</v>
      </c>
      <c r="F907" t="s">
        <v>913</v>
      </c>
      <c r="G907" s="10" t="s">
        <v>315</v>
      </c>
      <c r="H907" t="s">
        <v>36</v>
      </c>
    </row>
    <row r="908" spans="1:8" ht="43.2" x14ac:dyDescent="0.3">
      <c r="A908" t="s">
        <v>222</v>
      </c>
      <c r="B908" s="2">
        <v>46082</v>
      </c>
      <c r="C908" s="10" t="s">
        <v>893</v>
      </c>
      <c r="D908">
        <v>0</v>
      </c>
      <c r="E908" t="s">
        <v>33</v>
      </c>
      <c r="F908" t="s">
        <v>913</v>
      </c>
      <c r="G908" s="10" t="s">
        <v>930</v>
      </c>
      <c r="H908" t="s">
        <v>36</v>
      </c>
    </row>
    <row r="909" spans="1:8" ht="43.2" x14ac:dyDescent="0.3">
      <c r="A909" t="s">
        <v>222</v>
      </c>
      <c r="B909" s="2">
        <v>46113</v>
      </c>
      <c r="C909" s="10" t="s">
        <v>897</v>
      </c>
      <c r="D909">
        <v>0</v>
      </c>
      <c r="E909" t="s">
        <v>33</v>
      </c>
      <c r="F909" t="s">
        <v>913</v>
      </c>
      <c r="G909" s="10" t="s">
        <v>315</v>
      </c>
      <c r="H909" t="s">
        <v>36</v>
      </c>
    </row>
    <row r="910" spans="1:8" x14ac:dyDescent="0.3">
      <c r="A910" t="s">
        <v>222</v>
      </c>
      <c r="B910" s="2">
        <v>46143</v>
      </c>
      <c r="C910" s="10" t="s">
        <v>912</v>
      </c>
      <c r="D910">
        <v>0</v>
      </c>
      <c r="E910" t="s">
        <v>33</v>
      </c>
      <c r="F910" t="s">
        <v>913</v>
      </c>
      <c r="G910" s="10" t="s">
        <v>303</v>
      </c>
      <c r="H910" t="s">
        <v>36</v>
      </c>
    </row>
    <row r="911" spans="1:8" ht="28.8" x14ac:dyDescent="0.3">
      <c r="A911" t="s">
        <v>220</v>
      </c>
      <c r="B911" s="2">
        <v>46174</v>
      </c>
      <c r="C911" s="10" t="s">
        <v>897</v>
      </c>
      <c r="D911">
        <v>0</v>
      </c>
      <c r="E911" t="s">
        <v>33</v>
      </c>
      <c r="F911" t="s">
        <v>913</v>
      </c>
      <c r="G911" s="10" t="s">
        <v>997</v>
      </c>
      <c r="H911" t="s">
        <v>36</v>
      </c>
    </row>
    <row r="912" spans="1:8" x14ac:dyDescent="0.3">
      <c r="A912" t="s">
        <v>222</v>
      </c>
      <c r="B912" s="2">
        <v>46204</v>
      </c>
      <c r="C912" s="10"/>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554</v>
      </c>
    </row>
    <row r="920" spans="1:8" ht="28.95" customHeight="1" x14ac:dyDescent="0.3">
      <c r="A920" t="s">
        <v>142</v>
      </c>
      <c r="B920" s="2">
        <v>45717</v>
      </c>
      <c r="C920" s="10" t="s">
        <v>555</v>
      </c>
    </row>
    <row r="921" spans="1:8" ht="57.6" customHeight="1" x14ac:dyDescent="0.3">
      <c r="A921" t="s">
        <v>142</v>
      </c>
      <c r="B921" s="2">
        <v>45748</v>
      </c>
      <c r="C921" s="10" t="s">
        <v>556</v>
      </c>
    </row>
    <row r="922" spans="1:8" ht="57.6" customHeight="1" x14ac:dyDescent="0.3">
      <c r="A922" t="s">
        <v>142</v>
      </c>
      <c r="B922" s="2">
        <v>45778</v>
      </c>
      <c r="C922" s="10" t="s">
        <v>557</v>
      </c>
    </row>
    <row r="923" spans="1:8" ht="57.6" customHeight="1" x14ac:dyDescent="0.3">
      <c r="A923" t="s">
        <v>142</v>
      </c>
      <c r="B923" s="2">
        <v>45809</v>
      </c>
      <c r="C923" s="10" t="s">
        <v>558</v>
      </c>
    </row>
    <row r="924" spans="1:8" x14ac:dyDescent="0.3">
      <c r="A924" t="s">
        <v>142</v>
      </c>
      <c r="B924" s="2">
        <v>45839</v>
      </c>
      <c r="C924" t="s">
        <v>912</v>
      </c>
      <c r="D924">
        <v>0</v>
      </c>
      <c r="E924" t="s">
        <v>33</v>
      </c>
      <c r="F924" t="s">
        <v>33</v>
      </c>
      <c r="G924" s="10" t="s">
        <v>339</v>
      </c>
      <c r="H924" t="s">
        <v>36</v>
      </c>
    </row>
    <row r="925" spans="1:8" ht="57.6" customHeight="1" x14ac:dyDescent="0.3">
      <c r="A925" t="s">
        <v>142</v>
      </c>
      <c r="B925" s="2">
        <v>45870</v>
      </c>
      <c r="C925" t="s">
        <v>912</v>
      </c>
      <c r="D925">
        <v>0</v>
      </c>
      <c r="E925" t="s">
        <v>33</v>
      </c>
      <c r="F925" t="s">
        <v>33</v>
      </c>
      <c r="G925" s="10" t="s">
        <v>339</v>
      </c>
      <c r="H925" t="s">
        <v>36</v>
      </c>
    </row>
    <row r="926" spans="1:8" ht="57.6" customHeight="1" x14ac:dyDescent="0.3">
      <c r="A926" t="s">
        <v>142</v>
      </c>
      <c r="B926" s="2">
        <v>45901</v>
      </c>
      <c r="C926" t="s">
        <v>920</v>
      </c>
      <c r="D926">
        <v>0</v>
      </c>
      <c r="E926" t="s">
        <v>33</v>
      </c>
      <c r="F926" t="s">
        <v>33</v>
      </c>
      <c r="G926" s="10" t="s">
        <v>339</v>
      </c>
      <c r="H926" t="s">
        <v>36</v>
      </c>
    </row>
    <row r="927" spans="1:8" ht="57.6" customHeight="1" x14ac:dyDescent="0.3">
      <c r="A927" t="s">
        <v>142</v>
      </c>
      <c r="B927" s="2">
        <v>45931</v>
      </c>
      <c r="C927" t="s">
        <v>912</v>
      </c>
      <c r="D927">
        <v>0</v>
      </c>
      <c r="E927" t="s">
        <v>33</v>
      </c>
      <c r="F927" t="s">
        <v>33</v>
      </c>
      <c r="G927" s="10" t="s">
        <v>339</v>
      </c>
      <c r="H927" t="s">
        <v>36</v>
      </c>
    </row>
    <row r="928" spans="1:8" ht="57.6" customHeight="1" x14ac:dyDescent="0.3">
      <c r="A928" t="s">
        <v>142</v>
      </c>
      <c r="B928" s="2">
        <v>45962</v>
      </c>
      <c r="C928" t="s">
        <v>920</v>
      </c>
      <c r="D928">
        <v>0</v>
      </c>
      <c r="E928" t="s">
        <v>33</v>
      </c>
      <c r="F928" t="s">
        <v>33</v>
      </c>
      <c r="G928" s="21" t="s">
        <v>933</v>
      </c>
      <c r="H928" t="s">
        <v>36</v>
      </c>
    </row>
    <row r="929" spans="1:8" ht="28.8" x14ac:dyDescent="0.3">
      <c r="A929" t="s">
        <v>142</v>
      </c>
      <c r="B929" s="2">
        <v>45992</v>
      </c>
      <c r="C929" t="s">
        <v>912</v>
      </c>
      <c r="D929">
        <v>0</v>
      </c>
      <c r="E929" t="s">
        <v>33</v>
      </c>
      <c r="F929" t="s">
        <v>33</v>
      </c>
      <c r="G929" s="21" t="s">
        <v>933</v>
      </c>
      <c r="H929" t="s">
        <v>36</v>
      </c>
    </row>
    <row r="930" spans="1:8" ht="28.8" x14ac:dyDescent="0.3">
      <c r="A930" t="s">
        <v>142</v>
      </c>
      <c r="B930" s="2">
        <v>46023</v>
      </c>
      <c r="C930" t="s">
        <v>912</v>
      </c>
      <c r="D930">
        <v>0</v>
      </c>
      <c r="E930" t="s">
        <v>33</v>
      </c>
      <c r="F930" t="s">
        <v>33</v>
      </c>
      <c r="G930" s="10" t="s">
        <v>559</v>
      </c>
      <c r="H930" t="s">
        <v>36</v>
      </c>
    </row>
    <row r="931" spans="1:8" x14ac:dyDescent="0.3">
      <c r="A931" t="s">
        <v>142</v>
      </c>
      <c r="B931" s="2">
        <v>46054</v>
      </c>
      <c r="C931" t="s">
        <v>896</v>
      </c>
      <c r="D931">
        <v>0</v>
      </c>
      <c r="E931" t="s">
        <v>33</v>
      </c>
      <c r="F931" t="s">
        <v>33</v>
      </c>
      <c r="G931" s="10" t="s">
        <v>339</v>
      </c>
      <c r="H931" t="s">
        <v>36</v>
      </c>
    </row>
    <row r="932" spans="1:8" x14ac:dyDescent="0.3">
      <c r="A932" t="s">
        <v>142</v>
      </c>
      <c r="B932" s="2">
        <v>46082</v>
      </c>
      <c r="C932" t="s">
        <v>912</v>
      </c>
      <c r="D932">
        <v>0</v>
      </c>
      <c r="E932" t="s">
        <v>33</v>
      </c>
      <c r="F932" t="s">
        <v>33</v>
      </c>
      <c r="G932" s="10" t="s">
        <v>339</v>
      </c>
      <c r="H932" t="s">
        <v>36</v>
      </c>
    </row>
    <row r="933" spans="1:8" x14ac:dyDescent="0.3">
      <c r="A933" t="s">
        <v>142</v>
      </c>
      <c r="B933" s="2">
        <v>46113</v>
      </c>
      <c r="C933" t="s">
        <v>920</v>
      </c>
      <c r="D933">
        <v>0</v>
      </c>
      <c r="E933" t="s">
        <v>33</v>
      </c>
      <c r="F933" t="s">
        <v>33</v>
      </c>
      <c r="G933" s="10" t="s">
        <v>339</v>
      </c>
      <c r="H933" t="s">
        <v>36</v>
      </c>
    </row>
    <row r="934" spans="1:8" x14ac:dyDescent="0.3">
      <c r="A934" t="s">
        <v>142</v>
      </c>
      <c r="B934" s="2">
        <v>46143</v>
      </c>
      <c r="C934" t="s">
        <v>912</v>
      </c>
      <c r="D934">
        <v>0</v>
      </c>
      <c r="E934" t="s">
        <v>33</v>
      </c>
      <c r="F934" t="s">
        <v>33</v>
      </c>
      <c r="G934" s="10" t="s">
        <v>339</v>
      </c>
      <c r="H934" t="s">
        <v>36</v>
      </c>
    </row>
    <row r="935" spans="1:8" ht="28.8" x14ac:dyDescent="0.3">
      <c r="A935" t="s">
        <v>222</v>
      </c>
      <c r="B935" s="2">
        <v>46174</v>
      </c>
      <c r="C935" s="10" t="s">
        <v>897</v>
      </c>
      <c r="D935">
        <v>0</v>
      </c>
      <c r="E935" t="s">
        <v>33</v>
      </c>
      <c r="F935" t="s">
        <v>913</v>
      </c>
      <c r="G935" s="10" t="s">
        <v>997</v>
      </c>
      <c r="H935" t="s">
        <v>36</v>
      </c>
    </row>
    <row r="936" spans="1:8" x14ac:dyDescent="0.3">
      <c r="A936" t="s">
        <v>142</v>
      </c>
      <c r="B936" s="2">
        <v>46204</v>
      </c>
      <c r="C936" s="10"/>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560</v>
      </c>
    </row>
    <row r="944" spans="1:8" x14ac:dyDescent="0.3">
      <c r="A944" t="s">
        <v>145</v>
      </c>
      <c r="B944" s="2">
        <v>45717</v>
      </c>
      <c r="C944" s="10" t="s">
        <v>456</v>
      </c>
    </row>
    <row r="945" spans="1:3" ht="28.8" x14ac:dyDescent="0.3">
      <c r="A945" t="s">
        <v>145</v>
      </c>
      <c r="B945" s="2">
        <v>45748</v>
      </c>
      <c r="C945" s="10" t="s">
        <v>561</v>
      </c>
    </row>
    <row r="946" spans="1:3" ht="72" customHeight="1" x14ac:dyDescent="0.3">
      <c r="A946" t="s">
        <v>145</v>
      </c>
      <c r="B946" s="2">
        <v>45778</v>
      </c>
      <c r="C946" s="10" t="s">
        <v>562</v>
      </c>
    </row>
    <row r="947" spans="1:3" ht="57.6" customHeight="1" x14ac:dyDescent="0.3">
      <c r="A947" t="s">
        <v>145</v>
      </c>
      <c r="B947" s="2">
        <v>45809</v>
      </c>
      <c r="C947" s="10" t="s">
        <v>563</v>
      </c>
    </row>
    <row r="948" spans="1:3" ht="57.6" customHeight="1" x14ac:dyDescent="0.3">
      <c r="A948" t="s">
        <v>145</v>
      </c>
      <c r="B948" s="2">
        <v>45839</v>
      </c>
      <c r="C948" s="10" t="s">
        <v>564</v>
      </c>
    </row>
    <row r="949" spans="1:3" ht="72" customHeight="1" x14ac:dyDescent="0.3">
      <c r="A949" t="s">
        <v>145</v>
      </c>
      <c r="B949" s="2">
        <v>45870</v>
      </c>
      <c r="C949" s="10" t="s">
        <v>565</v>
      </c>
    </row>
    <row r="950" spans="1:3" ht="57.6" customHeight="1" x14ac:dyDescent="0.3">
      <c r="A950" t="s">
        <v>145</v>
      </c>
      <c r="B950" s="2">
        <v>45901</v>
      </c>
      <c r="C950" s="10" t="s">
        <v>566</v>
      </c>
    </row>
    <row r="951" spans="1:3" ht="57.6" customHeight="1" x14ac:dyDescent="0.3">
      <c r="A951" t="s">
        <v>145</v>
      </c>
      <c r="B951" s="2">
        <v>45931</v>
      </c>
      <c r="C951" s="10" t="s">
        <v>567</v>
      </c>
    </row>
    <row r="952" spans="1:3" ht="57.6" customHeight="1" x14ac:dyDescent="0.3">
      <c r="A952" t="s">
        <v>145</v>
      </c>
      <c r="B952" s="2">
        <v>45962</v>
      </c>
      <c r="C952" s="10" t="s">
        <v>568</v>
      </c>
    </row>
    <row r="953" spans="1:3" ht="28.8" x14ac:dyDescent="0.3">
      <c r="A953" t="s">
        <v>145</v>
      </c>
      <c r="B953" s="2">
        <v>45992</v>
      </c>
      <c r="C953" s="10" t="s">
        <v>569</v>
      </c>
    </row>
    <row r="954" spans="1:3" x14ac:dyDescent="0.3">
      <c r="A954" t="s">
        <v>145</v>
      </c>
      <c r="B954" s="2">
        <v>46023</v>
      </c>
      <c r="C954" s="10" t="s">
        <v>339</v>
      </c>
    </row>
    <row r="955" spans="1:3" x14ac:dyDescent="0.3">
      <c r="A955" t="s">
        <v>145</v>
      </c>
      <c r="B955" s="2">
        <v>46054</v>
      </c>
      <c r="C955" s="10" t="s">
        <v>327</v>
      </c>
    </row>
    <row r="956" spans="1:3" x14ac:dyDescent="0.3">
      <c r="A956" t="s">
        <v>145</v>
      </c>
      <c r="B956" s="2">
        <v>46082</v>
      </c>
      <c r="C956" s="10" t="s">
        <v>327</v>
      </c>
    </row>
    <row r="957" spans="1:3" ht="28.8" x14ac:dyDescent="0.3">
      <c r="A957" t="s">
        <v>145</v>
      </c>
      <c r="B957" s="2">
        <v>46113</v>
      </c>
      <c r="C957" s="10" t="s">
        <v>570</v>
      </c>
    </row>
    <row r="958" spans="1:3" ht="28.8" x14ac:dyDescent="0.3">
      <c r="A958" t="s">
        <v>145</v>
      </c>
      <c r="B958" s="2">
        <v>46143</v>
      </c>
      <c r="C958" s="10" t="s">
        <v>868</v>
      </c>
    </row>
    <row r="959" spans="1:3" x14ac:dyDescent="0.3">
      <c r="A959" t="s">
        <v>145</v>
      </c>
      <c r="B959" s="2">
        <v>46174</v>
      </c>
      <c r="C959" s="10"/>
    </row>
    <row r="960" spans="1:3" x14ac:dyDescent="0.3">
      <c r="A960" t="s">
        <v>145</v>
      </c>
      <c r="B960" s="2">
        <v>46204</v>
      </c>
      <c r="C960" s="10"/>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571</v>
      </c>
    </row>
    <row r="968" spans="1:3" ht="28.95" customHeight="1" x14ac:dyDescent="0.3">
      <c r="A968" t="s">
        <v>152</v>
      </c>
      <c r="B968" s="2">
        <v>45717</v>
      </c>
      <c r="C968" s="10" t="s">
        <v>555</v>
      </c>
    </row>
    <row r="969" spans="1:3" ht="28.95" customHeight="1" x14ac:dyDescent="0.3">
      <c r="A969" t="s">
        <v>152</v>
      </c>
      <c r="B969" s="2">
        <v>45748</v>
      </c>
      <c r="C969" s="10" t="s">
        <v>555</v>
      </c>
    </row>
    <row r="970" spans="1:3" ht="72" customHeight="1" x14ac:dyDescent="0.3">
      <c r="A970" t="s">
        <v>152</v>
      </c>
      <c r="B970" s="2">
        <v>45778</v>
      </c>
      <c r="C970" s="10" t="s">
        <v>572</v>
      </c>
    </row>
    <row r="971" spans="1:3" ht="72" customHeight="1" x14ac:dyDescent="0.3">
      <c r="A971" t="s">
        <v>152</v>
      </c>
      <c r="B971" s="2">
        <v>45809</v>
      </c>
      <c r="C971" s="10" t="s">
        <v>573</v>
      </c>
    </row>
    <row r="972" spans="1:3" ht="72" customHeight="1" x14ac:dyDescent="0.3">
      <c r="A972" t="s">
        <v>152</v>
      </c>
      <c r="B972" s="2">
        <v>45839</v>
      </c>
      <c r="C972" s="10" t="s">
        <v>574</v>
      </c>
    </row>
    <row r="973" spans="1:3" ht="72" customHeight="1" x14ac:dyDescent="0.3">
      <c r="A973" t="s">
        <v>152</v>
      </c>
      <c r="B973" s="2">
        <v>45870</v>
      </c>
      <c r="C973" s="10" t="s">
        <v>575</v>
      </c>
    </row>
    <row r="974" spans="1:3" ht="57.6" customHeight="1" x14ac:dyDescent="0.3">
      <c r="A974" t="s">
        <v>152</v>
      </c>
      <c r="B974" s="2">
        <v>45901</v>
      </c>
      <c r="C974" s="10" t="s">
        <v>576</v>
      </c>
    </row>
    <row r="975" spans="1:3" ht="72" customHeight="1" x14ac:dyDescent="0.3">
      <c r="A975" t="s">
        <v>152</v>
      </c>
      <c r="B975" s="2">
        <v>45931</v>
      </c>
      <c r="C975" s="10" t="s">
        <v>577</v>
      </c>
    </row>
    <row r="976" spans="1:3" ht="72" customHeight="1" x14ac:dyDescent="0.3">
      <c r="A976" t="s">
        <v>152</v>
      </c>
      <c r="B976" s="2">
        <v>45962</v>
      </c>
      <c r="C976" s="10" t="s">
        <v>578</v>
      </c>
    </row>
    <row r="977" spans="1:3" ht="28.8" x14ac:dyDescent="0.3">
      <c r="A977" t="s">
        <v>152</v>
      </c>
      <c r="B977" s="2">
        <v>45992</v>
      </c>
      <c r="C977" s="10" t="s">
        <v>579</v>
      </c>
    </row>
    <row r="978" spans="1:3" ht="28.8" x14ac:dyDescent="0.3">
      <c r="A978" t="s">
        <v>152</v>
      </c>
      <c r="B978" s="2">
        <v>46023</v>
      </c>
      <c r="C978" s="10" t="s">
        <v>580</v>
      </c>
    </row>
    <row r="979" spans="1:3" ht="28.95" customHeight="1" x14ac:dyDescent="0.3">
      <c r="A979" t="s">
        <v>152</v>
      </c>
      <c r="B979" s="2">
        <v>46054</v>
      </c>
      <c r="C979" s="10" t="s">
        <v>581</v>
      </c>
    </row>
    <row r="980" spans="1:3" ht="28.8" x14ac:dyDescent="0.3">
      <c r="A980" t="s">
        <v>152</v>
      </c>
      <c r="B980" s="2">
        <v>46082</v>
      </c>
      <c r="C980" s="10" t="s">
        <v>582</v>
      </c>
    </row>
    <row r="981" spans="1:3" ht="28.8" x14ac:dyDescent="0.3">
      <c r="A981" t="s">
        <v>152</v>
      </c>
      <c r="B981" s="2">
        <v>46113</v>
      </c>
      <c r="C981" s="10" t="s">
        <v>582</v>
      </c>
    </row>
    <row r="982" spans="1:3" ht="28.8" x14ac:dyDescent="0.3">
      <c r="A982" t="s">
        <v>152</v>
      </c>
      <c r="B982" s="2">
        <v>46143</v>
      </c>
      <c r="C982" s="10" t="s">
        <v>866</v>
      </c>
    </row>
    <row r="983" spans="1:3" x14ac:dyDescent="0.3">
      <c r="A983" t="s">
        <v>152</v>
      </c>
      <c r="B983" s="2">
        <v>46174</v>
      </c>
      <c r="C983" s="10"/>
    </row>
    <row r="984" spans="1:3" x14ac:dyDescent="0.3">
      <c r="A984" t="s">
        <v>152</v>
      </c>
      <c r="B984" s="2">
        <v>46204</v>
      </c>
      <c r="C984" s="10"/>
    </row>
    <row r="985" spans="1:3" x14ac:dyDescent="0.3">
      <c r="A985" t="s">
        <v>152</v>
      </c>
      <c r="B985" s="2">
        <v>46235</v>
      </c>
      <c r="C985" s="10"/>
    </row>
    <row r="986" spans="1:3" x14ac:dyDescent="0.3">
      <c r="A986" t="s">
        <v>149</v>
      </c>
      <c r="B986" s="2">
        <v>45536</v>
      </c>
      <c r="C986" s="10"/>
    </row>
    <row r="987" spans="1:3" x14ac:dyDescent="0.3">
      <c r="A987" t="s">
        <v>149</v>
      </c>
      <c r="B987" s="2">
        <v>45566</v>
      </c>
      <c r="C987" s="10"/>
    </row>
    <row r="988" spans="1:3" x14ac:dyDescent="0.3">
      <c r="A988" t="s">
        <v>149</v>
      </c>
      <c r="B988" s="2">
        <v>45597</v>
      </c>
      <c r="C988" s="10"/>
    </row>
    <row r="989" spans="1:3" x14ac:dyDescent="0.3">
      <c r="A989" t="s">
        <v>149</v>
      </c>
      <c r="B989" s="2">
        <v>45627</v>
      </c>
      <c r="C989" s="10"/>
    </row>
    <row r="990" spans="1:3" x14ac:dyDescent="0.3">
      <c r="A990" t="s">
        <v>149</v>
      </c>
      <c r="B990" s="2">
        <v>45658</v>
      </c>
      <c r="C990" s="10"/>
    </row>
    <row r="991" spans="1:3" ht="43.2" customHeight="1" x14ac:dyDescent="0.3">
      <c r="A991" t="s">
        <v>149</v>
      </c>
      <c r="B991" s="2">
        <v>45689</v>
      </c>
      <c r="C991" s="10" t="s">
        <v>583</v>
      </c>
    </row>
    <row r="992" spans="1:3" ht="72" customHeight="1" x14ac:dyDescent="0.3">
      <c r="A992" t="s">
        <v>149</v>
      </c>
      <c r="B992" s="2">
        <v>45717</v>
      </c>
      <c r="C992" s="10" t="s">
        <v>584</v>
      </c>
    </row>
    <row r="993" spans="1:8" ht="43.2" customHeight="1" x14ac:dyDescent="0.3">
      <c r="A993" t="s">
        <v>149</v>
      </c>
      <c r="B993" s="2">
        <v>45748</v>
      </c>
      <c r="C993" s="10" t="s">
        <v>585</v>
      </c>
    </row>
    <row r="994" spans="1:8" ht="57.6" customHeight="1" x14ac:dyDescent="0.3">
      <c r="A994" t="s">
        <v>149</v>
      </c>
      <c r="B994" s="2">
        <v>45778</v>
      </c>
      <c r="C994" s="10" t="s">
        <v>586</v>
      </c>
    </row>
    <row r="995" spans="1:8" ht="57.6" customHeight="1" x14ac:dyDescent="0.3">
      <c r="A995" t="s">
        <v>149</v>
      </c>
      <c r="B995" s="2">
        <v>45809</v>
      </c>
      <c r="C995" s="10" t="s">
        <v>587</v>
      </c>
    </row>
    <row r="996" spans="1:8" ht="28.8" x14ac:dyDescent="0.3">
      <c r="A996" t="s">
        <v>149</v>
      </c>
      <c r="B996" s="2">
        <v>45839</v>
      </c>
      <c r="C996" t="s">
        <v>912</v>
      </c>
      <c r="D996">
        <v>0</v>
      </c>
      <c r="E996" t="s">
        <v>33</v>
      </c>
      <c r="F996" t="s">
        <v>33</v>
      </c>
      <c r="G996" s="21" t="s">
        <v>933</v>
      </c>
      <c r="H996" t="s">
        <v>36</v>
      </c>
    </row>
    <row r="997" spans="1:8" ht="28.8" x14ac:dyDescent="0.3">
      <c r="A997" t="s">
        <v>149</v>
      </c>
      <c r="B997" s="2">
        <v>45870</v>
      </c>
      <c r="C997" t="s">
        <v>912</v>
      </c>
      <c r="D997">
        <v>0</v>
      </c>
      <c r="E997" t="s">
        <v>33</v>
      </c>
      <c r="F997" t="s">
        <v>33</v>
      </c>
      <c r="G997" s="21" t="s">
        <v>933</v>
      </c>
      <c r="H997" t="s">
        <v>36</v>
      </c>
    </row>
    <row r="998" spans="1:8" ht="28.8" x14ac:dyDescent="0.3">
      <c r="A998" t="s">
        <v>149</v>
      </c>
      <c r="B998" s="2">
        <v>45901</v>
      </c>
      <c r="C998" t="s">
        <v>920</v>
      </c>
      <c r="D998">
        <v>0</v>
      </c>
      <c r="E998" t="s">
        <v>33</v>
      </c>
      <c r="F998" t="s">
        <v>33</v>
      </c>
      <c r="G998" s="21" t="s">
        <v>933</v>
      </c>
      <c r="H998" t="s">
        <v>36</v>
      </c>
    </row>
    <row r="999" spans="1:8" ht="28.8" x14ac:dyDescent="0.3">
      <c r="A999" t="s">
        <v>149</v>
      </c>
      <c r="B999" s="2">
        <v>45931</v>
      </c>
      <c r="C999" t="s">
        <v>912</v>
      </c>
      <c r="D999">
        <v>0</v>
      </c>
      <c r="E999" t="s">
        <v>33</v>
      </c>
      <c r="F999" t="s">
        <v>33</v>
      </c>
      <c r="G999" s="21" t="s">
        <v>933</v>
      </c>
      <c r="H999" t="s">
        <v>36</v>
      </c>
    </row>
    <row r="1000" spans="1:8" ht="57.6" customHeight="1" x14ac:dyDescent="0.3">
      <c r="A1000" t="s">
        <v>149</v>
      </c>
      <c r="B1000" s="2">
        <v>45962</v>
      </c>
      <c r="C1000" t="s">
        <v>920</v>
      </c>
      <c r="D1000">
        <v>0</v>
      </c>
      <c r="E1000" t="s">
        <v>33</v>
      </c>
      <c r="F1000" t="s">
        <v>33</v>
      </c>
      <c r="G1000" s="21" t="s">
        <v>933</v>
      </c>
      <c r="H1000" t="s">
        <v>36</v>
      </c>
    </row>
    <row r="1001" spans="1:8" ht="43.2" x14ac:dyDescent="0.3">
      <c r="A1001" t="s">
        <v>149</v>
      </c>
      <c r="B1001" s="2">
        <v>45992</v>
      </c>
      <c r="C1001" t="s">
        <v>912</v>
      </c>
      <c r="D1001">
        <v>0</v>
      </c>
      <c r="E1001" t="s">
        <v>33</v>
      </c>
      <c r="F1001" t="s">
        <v>33</v>
      </c>
      <c r="G1001" s="10" t="s">
        <v>973</v>
      </c>
      <c r="H1001" t="s">
        <v>36</v>
      </c>
    </row>
    <row r="1002" spans="1:8" ht="43.2" x14ac:dyDescent="0.3">
      <c r="A1002" t="s">
        <v>149</v>
      </c>
      <c r="B1002" s="2">
        <v>46023</v>
      </c>
      <c r="C1002" t="s">
        <v>912</v>
      </c>
      <c r="D1002">
        <v>0</v>
      </c>
      <c r="E1002" t="s">
        <v>33</v>
      </c>
      <c r="F1002" t="s">
        <v>33</v>
      </c>
      <c r="G1002" s="10" t="s">
        <v>973</v>
      </c>
      <c r="H1002" t="s">
        <v>36</v>
      </c>
    </row>
    <row r="1003" spans="1:8" x14ac:dyDescent="0.3">
      <c r="A1003" t="s">
        <v>149</v>
      </c>
      <c r="B1003" s="2">
        <v>46054</v>
      </c>
      <c r="C1003" t="s">
        <v>896</v>
      </c>
      <c r="D1003">
        <v>0</v>
      </c>
      <c r="E1003" t="s">
        <v>33</v>
      </c>
      <c r="F1003" t="s">
        <v>33</v>
      </c>
      <c r="G1003" s="10" t="s">
        <v>327</v>
      </c>
      <c r="H1003" t="s">
        <v>36</v>
      </c>
    </row>
    <row r="1004" spans="1:8" x14ac:dyDescent="0.3">
      <c r="A1004" t="s">
        <v>149</v>
      </c>
      <c r="B1004" s="2">
        <v>46082</v>
      </c>
      <c r="C1004" t="s">
        <v>912</v>
      </c>
      <c r="D1004">
        <v>0</v>
      </c>
      <c r="E1004" t="s">
        <v>33</v>
      </c>
      <c r="F1004" t="s">
        <v>33</v>
      </c>
      <c r="G1004" s="10" t="s">
        <v>327</v>
      </c>
      <c r="H1004" t="s">
        <v>36</v>
      </c>
    </row>
    <row r="1005" spans="1:8" ht="28.8" x14ac:dyDescent="0.3">
      <c r="A1005" t="s">
        <v>149</v>
      </c>
      <c r="B1005" s="2">
        <v>46113</v>
      </c>
      <c r="C1005" t="s">
        <v>920</v>
      </c>
      <c r="D1005">
        <v>0</v>
      </c>
      <c r="E1005" t="s">
        <v>33</v>
      </c>
      <c r="F1005" t="s">
        <v>33</v>
      </c>
      <c r="G1005" s="21" t="s">
        <v>933</v>
      </c>
      <c r="H1005" t="s">
        <v>36</v>
      </c>
    </row>
    <row r="1006" spans="1:8" ht="28.8" x14ac:dyDescent="0.3">
      <c r="A1006" t="s">
        <v>149</v>
      </c>
      <c r="B1006" s="2">
        <v>46143</v>
      </c>
      <c r="C1006" t="s">
        <v>912</v>
      </c>
      <c r="D1006">
        <v>0</v>
      </c>
      <c r="E1006" t="s">
        <v>33</v>
      </c>
      <c r="F1006" t="s">
        <v>33</v>
      </c>
      <c r="G1006" s="21" t="s">
        <v>933</v>
      </c>
      <c r="H1006" t="s">
        <v>36</v>
      </c>
    </row>
    <row r="1007" spans="1:8" ht="28.8" x14ac:dyDescent="0.3">
      <c r="A1007" t="s">
        <v>142</v>
      </c>
      <c r="B1007" s="2">
        <v>46174</v>
      </c>
      <c r="C1007" t="s">
        <v>920</v>
      </c>
      <c r="D1007">
        <v>0</v>
      </c>
      <c r="E1007" t="s">
        <v>33</v>
      </c>
      <c r="F1007" t="s">
        <v>33</v>
      </c>
      <c r="G1007" s="10" t="s">
        <v>997</v>
      </c>
      <c r="H1007" t="s">
        <v>36</v>
      </c>
    </row>
    <row r="1008" spans="1:8" x14ac:dyDescent="0.3">
      <c r="A1008" t="s">
        <v>149</v>
      </c>
      <c r="B1008" s="2">
        <v>46204</v>
      </c>
      <c r="C1008" s="10"/>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588</v>
      </c>
    </row>
    <row r="1016" spans="1:3" x14ac:dyDescent="0.3">
      <c r="A1016" t="s">
        <v>155</v>
      </c>
      <c r="B1016" s="2">
        <v>45717</v>
      </c>
      <c r="C1016" s="10" t="s">
        <v>589</v>
      </c>
    </row>
    <row r="1017" spans="1:3" x14ac:dyDescent="0.3">
      <c r="A1017" t="s">
        <v>155</v>
      </c>
      <c r="B1017" s="2">
        <v>45748</v>
      </c>
      <c r="C1017" s="10" t="s">
        <v>589</v>
      </c>
    </row>
    <row r="1018" spans="1:3" ht="57.6" customHeight="1" x14ac:dyDescent="0.3">
      <c r="A1018" t="s">
        <v>155</v>
      </c>
      <c r="B1018" s="2">
        <v>45778</v>
      </c>
      <c r="C1018" s="10" t="s">
        <v>590</v>
      </c>
    </row>
    <row r="1019" spans="1:3" ht="57.6" customHeight="1" x14ac:dyDescent="0.3">
      <c r="A1019" t="s">
        <v>155</v>
      </c>
      <c r="B1019" s="2">
        <v>45809</v>
      </c>
      <c r="C1019" s="10" t="s">
        <v>591</v>
      </c>
    </row>
    <row r="1020" spans="1:3" x14ac:dyDescent="0.3">
      <c r="A1020" t="s">
        <v>155</v>
      </c>
      <c r="B1020" s="2">
        <v>45839</v>
      </c>
      <c r="C1020" s="10"/>
    </row>
    <row r="1021" spans="1:3" ht="57.6" customHeight="1" x14ac:dyDescent="0.3">
      <c r="A1021" t="s">
        <v>155</v>
      </c>
      <c r="B1021" s="2">
        <v>45870</v>
      </c>
      <c r="C1021" s="10" t="s">
        <v>592</v>
      </c>
    </row>
    <row r="1022" spans="1:3" ht="57.6" customHeight="1" x14ac:dyDescent="0.3">
      <c r="A1022" t="s">
        <v>155</v>
      </c>
      <c r="B1022" s="2">
        <v>45901</v>
      </c>
      <c r="C1022" s="10" t="s">
        <v>593</v>
      </c>
    </row>
    <row r="1023" spans="1:3" ht="57.6" customHeight="1" x14ac:dyDescent="0.3">
      <c r="A1023" t="s">
        <v>155</v>
      </c>
      <c r="B1023" s="2">
        <v>45931</v>
      </c>
      <c r="C1023" s="10" t="s">
        <v>594</v>
      </c>
    </row>
    <row r="1024" spans="1:3" ht="57.6" customHeight="1" x14ac:dyDescent="0.3">
      <c r="A1024" t="s">
        <v>155</v>
      </c>
      <c r="B1024" s="2">
        <v>45962</v>
      </c>
      <c r="C1024" s="10" t="s">
        <v>595</v>
      </c>
    </row>
    <row r="1025" spans="1:3" x14ac:dyDescent="0.3">
      <c r="A1025" t="s">
        <v>155</v>
      </c>
      <c r="B1025" s="2">
        <v>45992</v>
      </c>
      <c r="C1025" s="10" t="s">
        <v>327</v>
      </c>
    </row>
    <row r="1026" spans="1:3" x14ac:dyDescent="0.3">
      <c r="A1026" t="s">
        <v>155</v>
      </c>
      <c r="B1026" s="2">
        <v>46023</v>
      </c>
      <c r="C1026" s="10" t="s">
        <v>339</v>
      </c>
    </row>
    <row r="1027" spans="1:3" x14ac:dyDescent="0.3">
      <c r="A1027" t="s">
        <v>155</v>
      </c>
      <c r="B1027" s="2">
        <v>46054</v>
      </c>
      <c r="C1027" s="10" t="s">
        <v>327</v>
      </c>
    </row>
    <row r="1028" spans="1:3" ht="28.8" x14ac:dyDescent="0.3">
      <c r="A1028" t="s">
        <v>155</v>
      </c>
      <c r="B1028" s="2">
        <v>46082</v>
      </c>
      <c r="C1028" s="10" t="s">
        <v>596</v>
      </c>
    </row>
    <row r="1029" spans="1:3" ht="28.8" x14ac:dyDescent="0.3">
      <c r="A1029" t="s">
        <v>155</v>
      </c>
      <c r="B1029" s="2">
        <v>46113</v>
      </c>
      <c r="C1029" s="10" t="s">
        <v>597</v>
      </c>
    </row>
    <row r="1030" spans="1:3" ht="28.8" x14ac:dyDescent="0.3">
      <c r="A1030" t="s">
        <v>155</v>
      </c>
      <c r="B1030" s="2">
        <v>46143</v>
      </c>
      <c r="C1030" s="10" t="s">
        <v>865</v>
      </c>
    </row>
    <row r="1031" spans="1:3" x14ac:dyDescent="0.3">
      <c r="A1031" t="s">
        <v>155</v>
      </c>
      <c r="B1031" s="2">
        <v>46174</v>
      </c>
      <c r="C1031" s="10"/>
    </row>
    <row r="1032" spans="1:3" x14ac:dyDescent="0.3">
      <c r="A1032" t="s">
        <v>155</v>
      </c>
      <c r="B1032" s="2">
        <v>46204</v>
      </c>
      <c r="C1032" s="10"/>
    </row>
    <row r="1033" spans="1:3" x14ac:dyDescent="0.3">
      <c r="A1033" t="s">
        <v>155</v>
      </c>
      <c r="B1033" s="2">
        <v>46235</v>
      </c>
      <c r="C1033" s="10"/>
    </row>
    <row r="1034" spans="1:3" x14ac:dyDescent="0.3">
      <c r="A1034" t="s">
        <v>157</v>
      </c>
      <c r="B1034" s="2">
        <v>45536</v>
      </c>
      <c r="C1034" s="10"/>
    </row>
    <row r="1035" spans="1:3" x14ac:dyDescent="0.3">
      <c r="A1035" t="s">
        <v>157</v>
      </c>
      <c r="B1035" s="2">
        <v>45566</v>
      </c>
      <c r="C1035" s="10"/>
    </row>
    <row r="1036" spans="1:3" x14ac:dyDescent="0.3">
      <c r="A1036" t="s">
        <v>157</v>
      </c>
      <c r="B1036" s="2">
        <v>45597</v>
      </c>
      <c r="C1036" s="10"/>
    </row>
    <row r="1037" spans="1:3" x14ac:dyDescent="0.3">
      <c r="A1037" t="s">
        <v>157</v>
      </c>
      <c r="B1037" s="2">
        <v>45627</v>
      </c>
      <c r="C1037" s="10"/>
    </row>
    <row r="1038" spans="1:3" x14ac:dyDescent="0.3">
      <c r="A1038" t="s">
        <v>157</v>
      </c>
      <c r="B1038" s="2">
        <v>45658</v>
      </c>
      <c r="C1038" s="10"/>
    </row>
    <row r="1039" spans="1:3" x14ac:dyDescent="0.3">
      <c r="A1039" t="s">
        <v>157</v>
      </c>
      <c r="B1039" s="2">
        <v>45689</v>
      </c>
      <c r="C1039" s="10"/>
    </row>
    <row r="1040" spans="1:3" x14ac:dyDescent="0.3">
      <c r="A1040" t="s">
        <v>157</v>
      </c>
      <c r="B1040" s="2">
        <v>45717</v>
      </c>
      <c r="C1040" s="10"/>
    </row>
    <row r="1041" spans="1:3" x14ac:dyDescent="0.3">
      <c r="A1041" t="s">
        <v>157</v>
      </c>
      <c r="B1041" s="2">
        <v>45748</v>
      </c>
      <c r="C1041" s="10"/>
    </row>
    <row r="1042" spans="1:3" x14ac:dyDescent="0.3">
      <c r="A1042" t="s">
        <v>157</v>
      </c>
      <c r="B1042" s="2">
        <v>45778</v>
      </c>
      <c r="C1042" s="10"/>
    </row>
    <row r="1043" spans="1:3" x14ac:dyDescent="0.3">
      <c r="A1043" t="s">
        <v>157</v>
      </c>
      <c r="B1043" s="2">
        <v>45809</v>
      </c>
      <c r="C1043" s="10"/>
    </row>
    <row r="1044" spans="1:3" x14ac:dyDescent="0.3">
      <c r="A1044" t="s">
        <v>157</v>
      </c>
      <c r="B1044" s="2">
        <v>45839</v>
      </c>
      <c r="C1044" s="10"/>
    </row>
    <row r="1045" spans="1:3" x14ac:dyDescent="0.3">
      <c r="A1045" t="s">
        <v>157</v>
      </c>
      <c r="B1045" s="2">
        <v>45870</v>
      </c>
      <c r="C1045" s="10"/>
    </row>
    <row r="1046" spans="1:3" x14ac:dyDescent="0.3">
      <c r="A1046" t="s">
        <v>157</v>
      </c>
      <c r="B1046" s="2">
        <v>45901</v>
      </c>
      <c r="C1046" s="10"/>
    </row>
    <row r="1047" spans="1:3" ht="57.6" customHeight="1" x14ac:dyDescent="0.3">
      <c r="A1047" t="s">
        <v>157</v>
      </c>
      <c r="B1047" s="2">
        <v>45931</v>
      </c>
      <c r="C1047" s="10" t="s">
        <v>598</v>
      </c>
    </row>
    <row r="1048" spans="1:3" ht="57.6" customHeight="1" x14ac:dyDescent="0.3">
      <c r="A1048" t="s">
        <v>157</v>
      </c>
      <c r="B1048" s="2">
        <v>45962</v>
      </c>
      <c r="C1048" s="10" t="s">
        <v>598</v>
      </c>
    </row>
    <row r="1049" spans="1:3" x14ac:dyDescent="0.3">
      <c r="A1049" t="s">
        <v>157</v>
      </c>
      <c r="B1049" s="2">
        <v>45992</v>
      </c>
      <c r="C1049" s="10" t="s">
        <v>599</v>
      </c>
    </row>
    <row r="1050" spans="1:3" x14ac:dyDescent="0.3">
      <c r="A1050" t="s">
        <v>157</v>
      </c>
      <c r="B1050" s="2">
        <v>46023</v>
      </c>
      <c r="C1050" s="10" t="s">
        <v>339</v>
      </c>
    </row>
    <row r="1051" spans="1:3" x14ac:dyDescent="0.3">
      <c r="A1051" t="s">
        <v>157</v>
      </c>
      <c r="B1051" s="2">
        <v>46054</v>
      </c>
      <c r="C1051" s="10" t="s">
        <v>327</v>
      </c>
    </row>
    <row r="1052" spans="1:3" x14ac:dyDescent="0.3">
      <c r="A1052" t="s">
        <v>157</v>
      </c>
      <c r="B1052" s="2">
        <v>46082</v>
      </c>
      <c r="C1052" s="10" t="s">
        <v>327</v>
      </c>
    </row>
    <row r="1053" spans="1:3" ht="28.8" x14ac:dyDescent="0.3">
      <c r="A1053" t="s">
        <v>157</v>
      </c>
      <c r="B1053" s="2">
        <v>46113</v>
      </c>
      <c r="C1053" s="10" t="s">
        <v>596</v>
      </c>
    </row>
    <row r="1054" spans="1:3" ht="28.8" x14ac:dyDescent="0.3">
      <c r="A1054" t="s">
        <v>157</v>
      </c>
      <c r="B1054" s="2">
        <v>46143</v>
      </c>
      <c r="C1054" s="10" t="s">
        <v>868</v>
      </c>
    </row>
    <row r="1055" spans="1:3" x14ac:dyDescent="0.3">
      <c r="A1055" t="s">
        <v>157</v>
      </c>
      <c r="B1055" s="2">
        <v>46174</v>
      </c>
      <c r="C1055" s="10"/>
    </row>
    <row r="1056" spans="1:3" x14ac:dyDescent="0.3">
      <c r="A1056" t="s">
        <v>157</v>
      </c>
      <c r="B1056" s="2">
        <v>46204</v>
      </c>
      <c r="C1056" s="10"/>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600</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601</v>
      </c>
    </row>
    <row r="1064" spans="1:8" ht="43.2" customHeight="1" x14ac:dyDescent="0.3">
      <c r="A1064" t="s">
        <v>160</v>
      </c>
      <c r="B1064" s="2">
        <v>45717</v>
      </c>
      <c r="C1064" s="10" t="s">
        <v>602</v>
      </c>
    </row>
    <row r="1065" spans="1:8" ht="57.6" customHeight="1" x14ac:dyDescent="0.3">
      <c r="A1065" t="s">
        <v>160</v>
      </c>
      <c r="B1065" s="2">
        <v>45748</v>
      </c>
      <c r="C1065" s="10" t="s">
        <v>603</v>
      </c>
    </row>
    <row r="1066" spans="1:8" ht="57.6" customHeight="1" x14ac:dyDescent="0.3">
      <c r="A1066" t="s">
        <v>160</v>
      </c>
      <c r="B1066" s="2">
        <v>45778</v>
      </c>
      <c r="C1066" s="10" t="s">
        <v>604</v>
      </c>
    </row>
    <row r="1067" spans="1:8" ht="57.6" customHeight="1" x14ac:dyDescent="0.3">
      <c r="A1067" t="s">
        <v>160</v>
      </c>
      <c r="B1067" s="2">
        <v>45809</v>
      </c>
      <c r="C1067" s="10" t="s">
        <v>605</v>
      </c>
    </row>
    <row r="1068" spans="1:8" x14ac:dyDescent="0.3">
      <c r="A1068" t="s">
        <v>160</v>
      </c>
      <c r="B1068" s="2">
        <v>45839</v>
      </c>
      <c r="C1068" t="s">
        <v>912</v>
      </c>
      <c r="D1068">
        <v>0</v>
      </c>
      <c r="E1068" t="s">
        <v>33</v>
      </c>
      <c r="F1068" t="s">
        <v>33</v>
      </c>
      <c r="G1068" s="10" t="s">
        <v>339</v>
      </c>
      <c r="H1068" t="s">
        <v>36</v>
      </c>
    </row>
    <row r="1069" spans="1:8" x14ac:dyDescent="0.3">
      <c r="A1069" t="s">
        <v>160</v>
      </c>
      <c r="B1069" s="2">
        <v>45870</v>
      </c>
      <c r="C1069" t="s">
        <v>912</v>
      </c>
      <c r="D1069">
        <v>0</v>
      </c>
      <c r="E1069" t="s">
        <v>33</v>
      </c>
      <c r="F1069" t="s">
        <v>33</v>
      </c>
      <c r="G1069" s="10" t="s">
        <v>339</v>
      </c>
      <c r="H1069" t="s">
        <v>36</v>
      </c>
    </row>
    <row r="1070" spans="1:8" x14ac:dyDescent="0.3">
      <c r="A1070" t="s">
        <v>160</v>
      </c>
      <c r="B1070" s="2">
        <v>45901</v>
      </c>
      <c r="C1070" t="s">
        <v>920</v>
      </c>
      <c r="D1070">
        <v>0</v>
      </c>
      <c r="E1070" t="s">
        <v>33</v>
      </c>
      <c r="F1070" t="s">
        <v>33</v>
      </c>
      <c r="G1070" s="10" t="s">
        <v>339</v>
      </c>
      <c r="H1070" t="s">
        <v>36</v>
      </c>
    </row>
    <row r="1071" spans="1:8" x14ac:dyDescent="0.3">
      <c r="A1071" t="s">
        <v>160</v>
      </c>
      <c r="B1071" s="2">
        <v>45931</v>
      </c>
      <c r="C1071" t="s">
        <v>912</v>
      </c>
      <c r="D1071">
        <v>0</v>
      </c>
      <c r="E1071" t="s">
        <v>33</v>
      </c>
      <c r="F1071" t="s">
        <v>33</v>
      </c>
      <c r="G1071" s="10" t="s">
        <v>339</v>
      </c>
      <c r="H1071" t="s">
        <v>36</v>
      </c>
    </row>
    <row r="1072" spans="1:8" ht="28.8" x14ac:dyDescent="0.3">
      <c r="A1072" t="s">
        <v>160</v>
      </c>
      <c r="B1072" s="2">
        <v>45962</v>
      </c>
      <c r="C1072" t="s">
        <v>920</v>
      </c>
      <c r="D1072">
        <v>0</v>
      </c>
      <c r="E1072" t="s">
        <v>33</v>
      </c>
      <c r="F1072" t="s">
        <v>33</v>
      </c>
      <c r="G1072" s="21" t="s">
        <v>933</v>
      </c>
      <c r="H1072" t="s">
        <v>36</v>
      </c>
    </row>
    <row r="1073" spans="1:8" ht="28.8" x14ac:dyDescent="0.3">
      <c r="A1073" t="s">
        <v>160</v>
      </c>
      <c r="B1073" s="2">
        <v>45992</v>
      </c>
      <c r="C1073" t="s">
        <v>912</v>
      </c>
      <c r="D1073">
        <v>0</v>
      </c>
      <c r="E1073" t="s">
        <v>33</v>
      </c>
      <c r="F1073" t="s">
        <v>33</v>
      </c>
      <c r="G1073" s="21" t="s">
        <v>933</v>
      </c>
      <c r="H1073" t="s">
        <v>36</v>
      </c>
    </row>
    <row r="1074" spans="1:8" ht="28.8" x14ac:dyDescent="0.3">
      <c r="A1074" t="s">
        <v>160</v>
      </c>
      <c r="B1074" s="2">
        <v>46023</v>
      </c>
      <c r="C1074" t="s">
        <v>912</v>
      </c>
      <c r="D1074">
        <v>0</v>
      </c>
      <c r="E1074" t="s">
        <v>33</v>
      </c>
      <c r="F1074" t="s">
        <v>33</v>
      </c>
      <c r="G1074" s="21" t="s">
        <v>933</v>
      </c>
      <c r="H1074" t="s">
        <v>36</v>
      </c>
    </row>
    <row r="1075" spans="1:8" x14ac:dyDescent="0.3">
      <c r="A1075" t="s">
        <v>160</v>
      </c>
      <c r="B1075" s="2">
        <v>46054</v>
      </c>
      <c r="C1075" t="s">
        <v>896</v>
      </c>
      <c r="D1075">
        <v>0</v>
      </c>
      <c r="E1075" t="s">
        <v>33</v>
      </c>
      <c r="F1075" t="s">
        <v>33</v>
      </c>
      <c r="G1075" s="10" t="s">
        <v>339</v>
      </c>
      <c r="H1075" t="s">
        <v>36</v>
      </c>
    </row>
    <row r="1076" spans="1:8" x14ac:dyDescent="0.3">
      <c r="A1076" t="s">
        <v>160</v>
      </c>
      <c r="B1076" s="2">
        <v>46082</v>
      </c>
      <c r="C1076" t="s">
        <v>912</v>
      </c>
      <c r="D1076">
        <v>0</v>
      </c>
      <c r="E1076" t="s">
        <v>33</v>
      </c>
      <c r="F1076" t="s">
        <v>33</v>
      </c>
      <c r="G1076" s="10" t="s">
        <v>339</v>
      </c>
      <c r="H1076" t="s">
        <v>36</v>
      </c>
    </row>
    <row r="1077" spans="1:8" x14ac:dyDescent="0.3">
      <c r="A1077" t="s">
        <v>160</v>
      </c>
      <c r="B1077" s="2">
        <v>46113</v>
      </c>
      <c r="C1077" t="s">
        <v>920</v>
      </c>
      <c r="D1077">
        <v>0</v>
      </c>
      <c r="E1077" t="s">
        <v>33</v>
      </c>
      <c r="F1077" t="s">
        <v>33</v>
      </c>
      <c r="G1077" s="10" t="s">
        <v>339</v>
      </c>
      <c r="H1077" t="s">
        <v>36</v>
      </c>
    </row>
    <row r="1078" spans="1:8" x14ac:dyDescent="0.3">
      <c r="A1078" t="s">
        <v>160</v>
      </c>
      <c r="B1078" s="2">
        <v>46143</v>
      </c>
      <c r="C1078" t="s">
        <v>912</v>
      </c>
      <c r="D1078">
        <v>0</v>
      </c>
      <c r="E1078" t="s">
        <v>33</v>
      </c>
      <c r="F1078" t="s">
        <v>33</v>
      </c>
      <c r="G1078" s="10" t="s">
        <v>339</v>
      </c>
      <c r="H1078" t="s">
        <v>36</v>
      </c>
    </row>
    <row r="1079" spans="1:8" x14ac:dyDescent="0.3">
      <c r="A1079" t="s">
        <v>149</v>
      </c>
      <c r="B1079" s="2">
        <v>46174</v>
      </c>
      <c r="C1079" t="s">
        <v>920</v>
      </c>
      <c r="D1079">
        <v>0</v>
      </c>
      <c r="E1079" t="s">
        <v>33</v>
      </c>
      <c r="F1079" t="s">
        <v>33</v>
      </c>
      <c r="G1079" s="10" t="s">
        <v>339</v>
      </c>
      <c r="H1079" t="s">
        <v>36</v>
      </c>
    </row>
    <row r="1080" spans="1:8" x14ac:dyDescent="0.3">
      <c r="A1080" t="s">
        <v>160</v>
      </c>
      <c r="B1080" s="2">
        <v>46204</v>
      </c>
      <c r="C1080" s="10"/>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3" x14ac:dyDescent="0.3">
      <c r="A1089" t="s">
        <v>244</v>
      </c>
      <c r="B1089" s="2">
        <v>45748</v>
      </c>
      <c r="C1089" s="10"/>
    </row>
    <row r="1090" spans="1:3" x14ac:dyDescent="0.3">
      <c r="A1090" t="s">
        <v>244</v>
      </c>
      <c r="B1090" s="2">
        <v>45778</v>
      </c>
      <c r="C1090" s="10"/>
    </row>
    <row r="1091" spans="1:3" x14ac:dyDescent="0.3">
      <c r="A1091" t="s">
        <v>244</v>
      </c>
      <c r="B1091" s="2">
        <v>45809</v>
      </c>
      <c r="C1091" s="10"/>
    </row>
    <row r="1092" spans="1:3" x14ac:dyDescent="0.3">
      <c r="A1092" t="s">
        <v>244</v>
      </c>
      <c r="B1092" s="2">
        <v>45839</v>
      </c>
      <c r="C1092" s="10"/>
    </row>
    <row r="1093" spans="1:3" x14ac:dyDescent="0.3">
      <c r="A1093" t="s">
        <v>244</v>
      </c>
      <c r="B1093" s="2">
        <v>45870</v>
      </c>
      <c r="C1093" s="10"/>
    </row>
    <row r="1094" spans="1:3" x14ac:dyDescent="0.3">
      <c r="A1094" t="s">
        <v>244</v>
      </c>
      <c r="B1094" s="2">
        <v>45901</v>
      </c>
      <c r="C1094" s="10"/>
    </row>
    <row r="1095" spans="1:3" x14ac:dyDescent="0.3">
      <c r="A1095" t="s">
        <v>244</v>
      </c>
      <c r="B1095" s="2">
        <v>45931</v>
      </c>
      <c r="C1095" s="10"/>
    </row>
    <row r="1096" spans="1:3" x14ac:dyDescent="0.3">
      <c r="A1096" t="s">
        <v>244</v>
      </c>
      <c r="B1096" s="2">
        <v>45962</v>
      </c>
      <c r="C1096" s="10"/>
    </row>
    <row r="1097" spans="1:3" x14ac:dyDescent="0.3">
      <c r="A1097" t="s">
        <v>244</v>
      </c>
      <c r="B1097" s="2">
        <v>45992</v>
      </c>
      <c r="C1097" s="10"/>
    </row>
    <row r="1098" spans="1:3" x14ac:dyDescent="0.3">
      <c r="A1098" t="s">
        <v>244</v>
      </c>
      <c r="B1098" s="2">
        <v>46023</v>
      </c>
      <c r="C1098" s="10"/>
    </row>
    <row r="1099" spans="1:3" x14ac:dyDescent="0.3">
      <c r="A1099" t="s">
        <v>244</v>
      </c>
      <c r="B1099" s="2">
        <v>46054</v>
      </c>
      <c r="C1099" s="10"/>
    </row>
    <row r="1100" spans="1:3" x14ac:dyDescent="0.3">
      <c r="A1100" t="s">
        <v>244</v>
      </c>
      <c r="B1100" s="2">
        <v>46082</v>
      </c>
      <c r="C1100" s="10"/>
    </row>
    <row r="1101" spans="1:3" x14ac:dyDescent="0.3">
      <c r="A1101" t="s">
        <v>244</v>
      </c>
      <c r="B1101" s="2">
        <v>46113</v>
      </c>
      <c r="C1101" s="10" t="s">
        <v>606</v>
      </c>
    </row>
    <row r="1102" spans="1:3" x14ac:dyDescent="0.3">
      <c r="A1102" t="s">
        <v>244</v>
      </c>
      <c r="B1102" s="2">
        <v>46143</v>
      </c>
      <c r="C1102" s="10" t="s">
        <v>853</v>
      </c>
    </row>
    <row r="1103" spans="1:3" x14ac:dyDescent="0.3">
      <c r="A1103" t="s">
        <v>244</v>
      </c>
      <c r="B1103" s="2">
        <v>46174</v>
      </c>
      <c r="C1103" s="10"/>
    </row>
    <row r="1104" spans="1:3" x14ac:dyDescent="0.3">
      <c r="A1104" t="s">
        <v>244</v>
      </c>
      <c r="B1104" s="2">
        <v>46204</v>
      </c>
      <c r="C1104" s="10"/>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969</v>
      </c>
      <c r="D1117" t="s">
        <v>970</v>
      </c>
      <c r="E1117" t="s">
        <v>971</v>
      </c>
      <c r="F1117" t="s">
        <v>33</v>
      </c>
      <c r="G1117" t="s">
        <v>33</v>
      </c>
      <c r="H1117" t="s">
        <v>36</v>
      </c>
    </row>
    <row r="1118" spans="1:8" x14ac:dyDescent="0.3">
      <c r="A1118" t="s">
        <v>213</v>
      </c>
      <c r="B1118" s="2">
        <v>45901</v>
      </c>
      <c r="C1118" t="s">
        <v>920</v>
      </c>
      <c r="D1118">
        <v>0</v>
      </c>
      <c r="E1118" t="s">
        <v>33</v>
      </c>
      <c r="F1118" t="s">
        <v>33</v>
      </c>
      <c r="G1118" s="10" t="s">
        <v>339</v>
      </c>
      <c r="H1118" t="s">
        <v>36</v>
      </c>
    </row>
    <row r="1119" spans="1:8" x14ac:dyDescent="0.3">
      <c r="A1119" t="s">
        <v>213</v>
      </c>
      <c r="B1119" s="2">
        <v>45931</v>
      </c>
      <c r="C1119" t="s">
        <v>912</v>
      </c>
      <c r="D1119">
        <v>0</v>
      </c>
      <c r="E1119" t="s">
        <v>33</v>
      </c>
      <c r="F1119" t="s">
        <v>33</v>
      </c>
      <c r="G1119" s="10" t="s">
        <v>339</v>
      </c>
      <c r="H1119" t="s">
        <v>36</v>
      </c>
    </row>
    <row r="1120" spans="1:8" ht="43.2" customHeight="1" x14ac:dyDescent="0.3">
      <c r="A1120" t="s">
        <v>213</v>
      </c>
      <c r="B1120" s="2">
        <v>45962</v>
      </c>
      <c r="C1120" t="s">
        <v>920</v>
      </c>
      <c r="D1120">
        <v>0</v>
      </c>
      <c r="E1120" t="s">
        <v>33</v>
      </c>
      <c r="F1120" t="s">
        <v>33</v>
      </c>
      <c r="G1120" s="10" t="s">
        <v>339</v>
      </c>
      <c r="H1120" t="s">
        <v>36</v>
      </c>
    </row>
    <row r="1121" spans="1:8" x14ac:dyDescent="0.3">
      <c r="A1121" t="s">
        <v>213</v>
      </c>
      <c r="B1121" s="2">
        <v>45992</v>
      </c>
      <c r="C1121" t="s">
        <v>912</v>
      </c>
      <c r="D1121">
        <v>0</v>
      </c>
      <c r="E1121" t="s">
        <v>33</v>
      </c>
      <c r="F1121" t="s">
        <v>33</v>
      </c>
      <c r="G1121" s="10" t="s">
        <v>339</v>
      </c>
      <c r="H1121" t="s">
        <v>36</v>
      </c>
    </row>
    <row r="1122" spans="1:8" x14ac:dyDescent="0.3">
      <c r="A1122" t="s">
        <v>213</v>
      </c>
      <c r="B1122" s="2">
        <v>46023</v>
      </c>
      <c r="C1122" t="s">
        <v>912</v>
      </c>
      <c r="D1122">
        <v>0</v>
      </c>
      <c r="E1122" t="s">
        <v>33</v>
      </c>
      <c r="F1122" t="s">
        <v>33</v>
      </c>
      <c r="G1122" s="10" t="s">
        <v>339</v>
      </c>
      <c r="H1122" t="s">
        <v>36</v>
      </c>
    </row>
    <row r="1123" spans="1:8" x14ac:dyDescent="0.3">
      <c r="A1123" t="s">
        <v>213</v>
      </c>
      <c r="B1123" s="2">
        <v>46054</v>
      </c>
      <c r="C1123" t="s">
        <v>896</v>
      </c>
      <c r="D1123">
        <v>0</v>
      </c>
      <c r="E1123" t="s">
        <v>33</v>
      </c>
      <c r="F1123" t="s">
        <v>33</v>
      </c>
      <c r="G1123" s="10" t="s">
        <v>339</v>
      </c>
      <c r="H1123" t="s">
        <v>36</v>
      </c>
    </row>
    <row r="1124" spans="1:8" ht="28.8" x14ac:dyDescent="0.3">
      <c r="A1124" t="s">
        <v>213</v>
      </c>
      <c r="B1124" s="2">
        <v>46082</v>
      </c>
      <c r="C1124" t="s">
        <v>912</v>
      </c>
      <c r="D1124">
        <v>0</v>
      </c>
      <c r="E1124" t="s">
        <v>33</v>
      </c>
      <c r="F1124" t="s">
        <v>33</v>
      </c>
      <c r="G1124" s="10" t="s">
        <v>607</v>
      </c>
      <c r="H1124" t="s">
        <v>36</v>
      </c>
    </row>
    <row r="1125" spans="1:8" ht="28.8" x14ac:dyDescent="0.3">
      <c r="A1125" t="s">
        <v>213</v>
      </c>
      <c r="B1125" s="2">
        <v>46113</v>
      </c>
      <c r="C1125" t="s">
        <v>920</v>
      </c>
      <c r="D1125">
        <v>0</v>
      </c>
      <c r="E1125" t="s">
        <v>33</v>
      </c>
      <c r="F1125" t="s">
        <v>33</v>
      </c>
      <c r="G1125" s="10" t="s">
        <v>607</v>
      </c>
      <c r="H1125" t="s">
        <v>36</v>
      </c>
    </row>
    <row r="1126" spans="1:8" x14ac:dyDescent="0.3">
      <c r="A1126" t="s">
        <v>213</v>
      </c>
      <c r="B1126" s="2">
        <v>46143</v>
      </c>
      <c r="C1126" t="s">
        <v>912</v>
      </c>
      <c r="D1126">
        <v>0</v>
      </c>
      <c r="E1126" t="s">
        <v>33</v>
      </c>
      <c r="F1126" t="s">
        <v>33</v>
      </c>
      <c r="G1126" s="10" t="s">
        <v>339</v>
      </c>
      <c r="H1126" t="s">
        <v>36</v>
      </c>
    </row>
    <row r="1127" spans="1:8" x14ac:dyDescent="0.3">
      <c r="A1127" t="s">
        <v>160</v>
      </c>
      <c r="B1127" s="2">
        <v>46174</v>
      </c>
      <c r="C1127" t="s">
        <v>920</v>
      </c>
      <c r="D1127">
        <v>0</v>
      </c>
      <c r="E1127" t="s">
        <v>33</v>
      </c>
      <c r="F1127" t="s">
        <v>33</v>
      </c>
      <c r="G1127" s="10" t="s">
        <v>339</v>
      </c>
      <c r="H1127" t="s">
        <v>36</v>
      </c>
    </row>
    <row r="1128" spans="1:8" x14ac:dyDescent="0.3">
      <c r="A1128" t="s">
        <v>213</v>
      </c>
      <c r="B1128" s="2">
        <v>46204</v>
      </c>
      <c r="C1128" s="10"/>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3" x14ac:dyDescent="0.3">
      <c r="A1137" t="s">
        <v>216</v>
      </c>
      <c r="B1137" s="2">
        <v>45748</v>
      </c>
      <c r="C1137" s="10"/>
    </row>
    <row r="1138" spans="1:3" x14ac:dyDescent="0.3">
      <c r="A1138" t="s">
        <v>216</v>
      </c>
      <c r="B1138" s="2">
        <v>45778</v>
      </c>
      <c r="C1138" s="10"/>
    </row>
    <row r="1139" spans="1:3" x14ac:dyDescent="0.3">
      <c r="A1139" t="s">
        <v>216</v>
      </c>
      <c r="B1139" s="2">
        <v>45809</v>
      </c>
      <c r="C1139" s="10"/>
    </row>
    <row r="1140" spans="1:3" x14ac:dyDescent="0.3">
      <c r="A1140" t="s">
        <v>216</v>
      </c>
      <c r="B1140" s="2">
        <v>45839</v>
      </c>
      <c r="C1140" s="10"/>
    </row>
    <row r="1141" spans="1:3" x14ac:dyDescent="0.3">
      <c r="A1141" t="s">
        <v>216</v>
      </c>
      <c r="B1141" s="2">
        <v>45870</v>
      </c>
      <c r="C1141" s="10"/>
    </row>
    <row r="1142" spans="1:3" ht="43.2" customHeight="1" x14ac:dyDescent="0.3">
      <c r="A1142" t="s">
        <v>216</v>
      </c>
      <c r="B1142" s="2">
        <v>45901</v>
      </c>
      <c r="C1142" s="10" t="s">
        <v>608</v>
      </c>
    </row>
    <row r="1143" spans="1:3" ht="43.2" customHeight="1" x14ac:dyDescent="0.3">
      <c r="A1143" t="s">
        <v>216</v>
      </c>
      <c r="B1143" s="2">
        <v>45931</v>
      </c>
      <c r="C1143" s="10" t="s">
        <v>609</v>
      </c>
    </row>
    <row r="1144" spans="1:3" ht="43.2" customHeight="1" x14ac:dyDescent="0.3">
      <c r="A1144" t="s">
        <v>216</v>
      </c>
      <c r="B1144" s="2">
        <v>45962</v>
      </c>
      <c r="C1144" s="10" t="s">
        <v>610</v>
      </c>
    </row>
    <row r="1145" spans="1:3" x14ac:dyDescent="0.3">
      <c r="A1145" t="s">
        <v>216</v>
      </c>
      <c r="B1145" s="2">
        <v>45992</v>
      </c>
      <c r="C1145" s="10" t="s">
        <v>327</v>
      </c>
    </row>
    <row r="1146" spans="1:3" x14ac:dyDescent="0.3">
      <c r="A1146" t="s">
        <v>216</v>
      </c>
      <c r="B1146" s="2">
        <v>46023</v>
      </c>
      <c r="C1146" s="10" t="s">
        <v>339</v>
      </c>
    </row>
    <row r="1147" spans="1:3" x14ac:dyDescent="0.3">
      <c r="A1147" t="s">
        <v>216</v>
      </c>
      <c r="B1147" s="2">
        <v>46054</v>
      </c>
      <c r="C1147" s="10" t="s">
        <v>327</v>
      </c>
    </row>
    <row r="1148" spans="1:3" ht="28.8" x14ac:dyDescent="0.3">
      <c r="A1148" t="s">
        <v>216</v>
      </c>
      <c r="B1148" s="2">
        <v>46082</v>
      </c>
      <c r="C1148" s="10" t="s">
        <v>607</v>
      </c>
    </row>
    <row r="1149" spans="1:3" ht="28.8" x14ac:dyDescent="0.3">
      <c r="A1149" t="s">
        <v>216</v>
      </c>
      <c r="B1149" s="2">
        <v>46113</v>
      </c>
      <c r="C1149" s="10" t="s">
        <v>607</v>
      </c>
    </row>
    <row r="1150" spans="1:3" x14ac:dyDescent="0.3">
      <c r="A1150" t="s">
        <v>216</v>
      </c>
      <c r="B1150" s="2">
        <v>46143</v>
      </c>
      <c r="C1150" s="10" t="s">
        <v>303</v>
      </c>
    </row>
    <row r="1151" spans="1:3" x14ac:dyDescent="0.3">
      <c r="A1151" t="s">
        <v>216</v>
      </c>
      <c r="B1151" s="2">
        <v>46174</v>
      </c>
      <c r="C1151" s="10"/>
    </row>
    <row r="1152" spans="1:3" x14ac:dyDescent="0.3">
      <c r="A1152" t="s">
        <v>216</v>
      </c>
      <c r="B1152" s="2">
        <v>46204</v>
      </c>
      <c r="C1152" s="10"/>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969</v>
      </c>
      <c r="D1165" t="s">
        <v>970</v>
      </c>
      <c r="E1165" t="s">
        <v>971</v>
      </c>
      <c r="F1165" t="s">
        <v>33</v>
      </c>
      <c r="G1165" t="s">
        <v>33</v>
      </c>
      <c r="H1165" t="s">
        <v>36</v>
      </c>
    </row>
    <row r="1166" spans="1:8" ht="43.2" customHeight="1" x14ac:dyDescent="0.3">
      <c r="A1166" t="s">
        <v>218</v>
      </c>
      <c r="B1166" s="2">
        <v>45901</v>
      </c>
      <c r="C1166" t="s">
        <v>920</v>
      </c>
      <c r="D1166">
        <v>0</v>
      </c>
      <c r="E1166" t="s">
        <v>33</v>
      </c>
      <c r="F1166" t="s">
        <v>33</v>
      </c>
      <c r="G1166" s="10" t="s">
        <v>339</v>
      </c>
      <c r="H1166" t="s">
        <v>36</v>
      </c>
    </row>
    <row r="1167" spans="1:8" ht="43.2" customHeight="1" x14ac:dyDescent="0.3">
      <c r="A1167" t="s">
        <v>218</v>
      </c>
      <c r="B1167" s="2">
        <v>45931</v>
      </c>
      <c r="C1167" t="s">
        <v>912</v>
      </c>
      <c r="D1167">
        <v>0</v>
      </c>
      <c r="E1167" t="s">
        <v>33</v>
      </c>
      <c r="F1167" t="s">
        <v>33</v>
      </c>
      <c r="G1167" s="10" t="s">
        <v>339</v>
      </c>
      <c r="H1167" t="s">
        <v>36</v>
      </c>
    </row>
    <row r="1168" spans="1:8" ht="43.2" customHeight="1" x14ac:dyDescent="0.3">
      <c r="A1168" t="s">
        <v>218</v>
      </c>
      <c r="B1168" s="2">
        <v>45962</v>
      </c>
      <c r="C1168" t="s">
        <v>920</v>
      </c>
      <c r="D1168">
        <v>0</v>
      </c>
      <c r="E1168" t="s">
        <v>33</v>
      </c>
      <c r="F1168" t="s">
        <v>33</v>
      </c>
      <c r="G1168" s="10" t="s">
        <v>339</v>
      </c>
      <c r="H1168" t="s">
        <v>36</v>
      </c>
    </row>
    <row r="1169" spans="1:8" x14ac:dyDescent="0.3">
      <c r="A1169" t="s">
        <v>218</v>
      </c>
      <c r="B1169" s="2">
        <v>45992</v>
      </c>
      <c r="C1169" t="s">
        <v>912</v>
      </c>
      <c r="D1169">
        <v>0</v>
      </c>
      <c r="E1169" t="s">
        <v>33</v>
      </c>
      <c r="F1169" t="s">
        <v>33</v>
      </c>
      <c r="G1169" s="10" t="s">
        <v>339</v>
      </c>
      <c r="H1169" t="s">
        <v>36</v>
      </c>
    </row>
    <row r="1170" spans="1:8" x14ac:dyDescent="0.3">
      <c r="A1170" t="s">
        <v>218</v>
      </c>
      <c r="B1170" s="2">
        <v>46023</v>
      </c>
      <c r="C1170" t="s">
        <v>912</v>
      </c>
      <c r="D1170">
        <v>0</v>
      </c>
      <c r="E1170" t="s">
        <v>33</v>
      </c>
      <c r="F1170" t="s">
        <v>33</v>
      </c>
      <c r="G1170" s="10" t="s">
        <v>339</v>
      </c>
      <c r="H1170" t="s">
        <v>36</v>
      </c>
    </row>
    <row r="1171" spans="1:8" x14ac:dyDescent="0.3">
      <c r="A1171" t="s">
        <v>218</v>
      </c>
      <c r="B1171" s="2">
        <v>46054</v>
      </c>
      <c r="C1171" t="s">
        <v>896</v>
      </c>
      <c r="D1171">
        <v>0</v>
      </c>
      <c r="E1171" t="s">
        <v>33</v>
      </c>
      <c r="F1171" t="s">
        <v>33</v>
      </c>
      <c r="G1171" s="10" t="s">
        <v>339</v>
      </c>
      <c r="H1171" t="s">
        <v>36</v>
      </c>
    </row>
    <row r="1172" spans="1:8" ht="28.8" x14ac:dyDescent="0.3">
      <c r="A1172" t="s">
        <v>218</v>
      </c>
      <c r="B1172" s="2">
        <v>46082</v>
      </c>
      <c r="C1172" t="s">
        <v>912</v>
      </c>
      <c r="D1172">
        <v>0</v>
      </c>
      <c r="E1172" t="s">
        <v>33</v>
      </c>
      <c r="F1172" t="s">
        <v>33</v>
      </c>
      <c r="G1172" s="10" t="s">
        <v>607</v>
      </c>
      <c r="H1172" t="s">
        <v>36</v>
      </c>
    </row>
    <row r="1173" spans="1:8" ht="28.8" x14ac:dyDescent="0.3">
      <c r="A1173" t="s">
        <v>218</v>
      </c>
      <c r="B1173" s="2">
        <v>46113</v>
      </c>
      <c r="C1173" t="s">
        <v>920</v>
      </c>
      <c r="D1173">
        <v>0</v>
      </c>
      <c r="E1173" t="s">
        <v>33</v>
      </c>
      <c r="F1173" t="s">
        <v>33</v>
      </c>
      <c r="G1173" s="10" t="s">
        <v>607</v>
      </c>
      <c r="H1173" t="s">
        <v>36</v>
      </c>
    </row>
    <row r="1174" spans="1:8" x14ac:dyDescent="0.3">
      <c r="A1174" t="s">
        <v>218</v>
      </c>
      <c r="B1174" s="2">
        <v>46143</v>
      </c>
      <c r="C1174" t="s">
        <v>912</v>
      </c>
      <c r="D1174">
        <v>0</v>
      </c>
      <c r="E1174" t="s">
        <v>33</v>
      </c>
      <c r="F1174" t="s">
        <v>33</v>
      </c>
      <c r="G1174" s="10" t="s">
        <v>339</v>
      </c>
      <c r="H1174" t="s">
        <v>36</v>
      </c>
    </row>
    <row r="1175" spans="1:8" x14ac:dyDescent="0.3">
      <c r="A1175" t="s">
        <v>213</v>
      </c>
      <c r="B1175" s="2">
        <v>46174</v>
      </c>
      <c r="C1175" t="s">
        <v>920</v>
      </c>
      <c r="D1175">
        <v>0</v>
      </c>
      <c r="E1175" t="s">
        <v>33</v>
      </c>
      <c r="F1175" t="s">
        <v>33</v>
      </c>
      <c r="G1175" s="10" t="s">
        <v>339</v>
      </c>
      <c r="H1175" t="s">
        <v>36</v>
      </c>
    </row>
    <row r="1176" spans="1:8" x14ac:dyDescent="0.3">
      <c r="A1176" t="s">
        <v>218</v>
      </c>
      <c r="B1176" s="2">
        <v>46204</v>
      </c>
      <c r="C1176" s="10"/>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611</v>
      </c>
    </row>
    <row r="1184" spans="1:8" ht="28.95" customHeight="1" x14ac:dyDescent="0.3">
      <c r="A1184" t="s">
        <v>163</v>
      </c>
      <c r="B1184" s="2">
        <v>45717</v>
      </c>
      <c r="C1184" s="10" t="s">
        <v>612</v>
      </c>
    </row>
    <row r="1185" spans="1:3" ht="28.95" customHeight="1" x14ac:dyDescent="0.3">
      <c r="A1185" t="s">
        <v>163</v>
      </c>
      <c r="B1185" s="2">
        <v>45748</v>
      </c>
      <c r="C1185" s="10" t="s">
        <v>613</v>
      </c>
    </row>
    <row r="1186" spans="1:3" ht="72" customHeight="1" x14ac:dyDescent="0.3">
      <c r="A1186" t="s">
        <v>163</v>
      </c>
      <c r="B1186" s="2">
        <v>45778</v>
      </c>
      <c r="C1186" s="10" t="s">
        <v>614</v>
      </c>
    </row>
    <row r="1187" spans="1:3" ht="72" customHeight="1" x14ac:dyDescent="0.3">
      <c r="A1187" t="s">
        <v>163</v>
      </c>
      <c r="B1187" s="2">
        <v>45809</v>
      </c>
      <c r="C1187" s="10" t="s">
        <v>615</v>
      </c>
    </row>
    <row r="1188" spans="1:3" ht="72" customHeight="1" x14ac:dyDescent="0.3">
      <c r="A1188" t="s">
        <v>163</v>
      </c>
      <c r="B1188" s="2">
        <v>45839</v>
      </c>
      <c r="C1188" s="10" t="s">
        <v>616</v>
      </c>
    </row>
    <row r="1189" spans="1:3" ht="72" customHeight="1" x14ac:dyDescent="0.3">
      <c r="A1189" t="s">
        <v>163</v>
      </c>
      <c r="B1189" s="2">
        <v>45870</v>
      </c>
      <c r="C1189" s="10" t="s">
        <v>617</v>
      </c>
    </row>
    <row r="1190" spans="1:3" ht="72" customHeight="1" x14ac:dyDescent="0.3">
      <c r="A1190" t="s">
        <v>163</v>
      </c>
      <c r="B1190" s="2">
        <v>45901</v>
      </c>
      <c r="C1190" s="10" t="s">
        <v>618</v>
      </c>
    </row>
    <row r="1191" spans="1:3" ht="57.6" customHeight="1" x14ac:dyDescent="0.3">
      <c r="A1191" t="s">
        <v>163</v>
      </c>
      <c r="B1191" s="2">
        <v>45931</v>
      </c>
      <c r="C1191" s="10" t="s">
        <v>619</v>
      </c>
    </row>
    <row r="1192" spans="1:3" x14ac:dyDescent="0.3">
      <c r="A1192" t="s">
        <v>163</v>
      </c>
      <c r="B1192" s="2">
        <v>45962</v>
      </c>
      <c r="C1192" s="10" t="s">
        <v>620</v>
      </c>
    </row>
    <row r="1193" spans="1:3" x14ac:dyDescent="0.3">
      <c r="A1193" t="s">
        <v>163</v>
      </c>
      <c r="B1193" s="2">
        <v>45992</v>
      </c>
      <c r="C1193" s="10" t="s">
        <v>620</v>
      </c>
    </row>
    <row r="1194" spans="1:3" x14ac:dyDescent="0.3">
      <c r="A1194" t="s">
        <v>163</v>
      </c>
      <c r="B1194" s="2">
        <v>46023</v>
      </c>
      <c r="C1194" s="10" t="s">
        <v>620</v>
      </c>
    </row>
    <row r="1195" spans="1:3" x14ac:dyDescent="0.3">
      <c r="A1195" t="s">
        <v>163</v>
      </c>
      <c r="B1195" s="2">
        <v>46054</v>
      </c>
      <c r="C1195" s="10" t="s">
        <v>620</v>
      </c>
    </row>
    <row r="1196" spans="1:3" x14ac:dyDescent="0.3">
      <c r="A1196" t="s">
        <v>163</v>
      </c>
      <c r="B1196" s="2">
        <v>46082</v>
      </c>
      <c r="C1196" s="10" t="s">
        <v>620</v>
      </c>
    </row>
    <row r="1197" spans="1:3" x14ac:dyDescent="0.3">
      <c r="A1197" t="s">
        <v>163</v>
      </c>
      <c r="B1197" s="2">
        <v>46113</v>
      </c>
      <c r="C1197" s="10" t="s">
        <v>620</v>
      </c>
    </row>
    <row r="1198" spans="1:3" x14ac:dyDescent="0.3">
      <c r="A1198" t="s">
        <v>163</v>
      </c>
      <c r="B1198" s="2">
        <v>46143</v>
      </c>
      <c r="C1198" s="10" t="s">
        <v>860</v>
      </c>
    </row>
    <row r="1199" spans="1:3" x14ac:dyDescent="0.3">
      <c r="A1199" t="s">
        <v>163</v>
      </c>
      <c r="B1199" s="2">
        <v>46174</v>
      </c>
      <c r="C1199" s="10"/>
    </row>
    <row r="1200" spans="1:3" x14ac:dyDescent="0.3">
      <c r="A1200" t="s">
        <v>163</v>
      </c>
      <c r="B1200" s="2">
        <v>46204</v>
      </c>
      <c r="C1200" s="10"/>
    </row>
    <row r="1201" spans="1:3" x14ac:dyDescent="0.3">
      <c r="A1201" t="s">
        <v>163</v>
      </c>
      <c r="B1201" s="2">
        <v>46235</v>
      </c>
      <c r="C1201" s="10"/>
    </row>
    <row r="1202" spans="1:3" ht="28.8" x14ac:dyDescent="0.3">
      <c r="A1202" t="s">
        <v>166</v>
      </c>
      <c r="B1202" s="2">
        <v>45536</v>
      </c>
      <c r="C1202" s="10" t="s">
        <v>621</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622</v>
      </c>
    </row>
    <row r="1208" spans="1:3" ht="28.95" customHeight="1" x14ac:dyDescent="0.3">
      <c r="A1208" t="s">
        <v>166</v>
      </c>
      <c r="B1208" s="2">
        <v>45717</v>
      </c>
      <c r="C1208" s="10" t="s">
        <v>623</v>
      </c>
    </row>
    <row r="1209" spans="1:3" ht="72" customHeight="1" x14ac:dyDescent="0.3">
      <c r="A1209" t="s">
        <v>166</v>
      </c>
      <c r="B1209" s="2">
        <v>45748</v>
      </c>
      <c r="C1209" s="10" t="s">
        <v>624</v>
      </c>
    </row>
    <row r="1210" spans="1:3" ht="72" customHeight="1" x14ac:dyDescent="0.3">
      <c r="A1210" t="s">
        <v>166</v>
      </c>
      <c r="B1210" s="2">
        <v>45778</v>
      </c>
      <c r="C1210" s="10" t="s">
        <v>625</v>
      </c>
    </row>
    <row r="1211" spans="1:3" ht="72" customHeight="1" x14ac:dyDescent="0.3">
      <c r="A1211" t="s">
        <v>166</v>
      </c>
      <c r="B1211" s="2">
        <v>45809</v>
      </c>
      <c r="C1211" s="10" t="s">
        <v>626</v>
      </c>
    </row>
    <row r="1212" spans="1:3" ht="72" customHeight="1" x14ac:dyDescent="0.3">
      <c r="A1212" t="s">
        <v>166</v>
      </c>
      <c r="B1212" s="2">
        <v>45839</v>
      </c>
      <c r="C1212" s="10" t="s">
        <v>627</v>
      </c>
    </row>
    <row r="1213" spans="1:3" ht="57.6" customHeight="1" x14ac:dyDescent="0.3">
      <c r="A1213" t="s">
        <v>166</v>
      </c>
      <c r="B1213" s="2">
        <v>45870</v>
      </c>
      <c r="C1213" s="10" t="s">
        <v>628</v>
      </c>
    </row>
    <row r="1214" spans="1:3" ht="57.6" customHeight="1" x14ac:dyDescent="0.3">
      <c r="A1214" t="s">
        <v>166</v>
      </c>
      <c r="B1214" s="2">
        <v>45901</v>
      </c>
      <c r="C1214" s="10" t="s">
        <v>629</v>
      </c>
    </row>
    <row r="1215" spans="1:3" ht="57.6" customHeight="1" x14ac:dyDescent="0.3">
      <c r="A1215" t="s">
        <v>166</v>
      </c>
      <c r="B1215" s="2">
        <v>45931</v>
      </c>
      <c r="C1215" s="10" t="s">
        <v>630</v>
      </c>
    </row>
    <row r="1216" spans="1:3" ht="57.6" customHeight="1" x14ac:dyDescent="0.3">
      <c r="A1216" t="s">
        <v>166</v>
      </c>
      <c r="B1216" s="2">
        <v>45962</v>
      </c>
      <c r="C1216" s="10" t="s">
        <v>631</v>
      </c>
    </row>
    <row r="1217" spans="1:3" ht="28.8" x14ac:dyDescent="0.3">
      <c r="A1217" t="s">
        <v>166</v>
      </c>
      <c r="B1217" s="2">
        <v>45992</v>
      </c>
      <c r="C1217" s="10" t="s">
        <v>632</v>
      </c>
    </row>
    <row r="1218" spans="1:3" x14ac:dyDescent="0.3">
      <c r="A1218" t="s">
        <v>166</v>
      </c>
      <c r="B1218" s="2">
        <v>46023</v>
      </c>
      <c r="C1218" s="10" t="s">
        <v>633</v>
      </c>
    </row>
    <row r="1219" spans="1:3" ht="43.2" x14ac:dyDescent="0.3">
      <c r="A1219" t="s">
        <v>166</v>
      </c>
      <c r="B1219" s="2">
        <v>46054</v>
      </c>
      <c r="C1219" s="10" t="s">
        <v>315</v>
      </c>
    </row>
    <row r="1220" spans="1:3" x14ac:dyDescent="0.3">
      <c r="A1220" t="s">
        <v>166</v>
      </c>
      <c r="B1220" s="2">
        <v>46082</v>
      </c>
      <c r="C1220" s="10" t="s">
        <v>633</v>
      </c>
    </row>
    <row r="1221" spans="1:3" x14ac:dyDescent="0.3">
      <c r="A1221" t="s">
        <v>166</v>
      </c>
      <c r="B1221" s="2">
        <v>46113</v>
      </c>
      <c r="C1221" s="10" t="s">
        <v>633</v>
      </c>
    </row>
    <row r="1222" spans="1:3" x14ac:dyDescent="0.3">
      <c r="A1222" t="s">
        <v>166</v>
      </c>
      <c r="B1222" s="2">
        <v>46143</v>
      </c>
      <c r="C1222" s="10" t="s">
        <v>853</v>
      </c>
    </row>
    <row r="1223" spans="1:3" x14ac:dyDescent="0.3">
      <c r="A1223" t="s">
        <v>166</v>
      </c>
      <c r="B1223" s="2">
        <v>46174</v>
      </c>
      <c r="C1223" s="10"/>
    </row>
    <row r="1224" spans="1:3" x14ac:dyDescent="0.3">
      <c r="A1224" t="s">
        <v>166</v>
      </c>
      <c r="B1224" s="2">
        <v>46204</v>
      </c>
      <c r="C1224" s="10"/>
    </row>
    <row r="1225" spans="1:3" x14ac:dyDescent="0.3">
      <c r="A1225" t="s">
        <v>166</v>
      </c>
      <c r="B1225" s="2">
        <v>46235</v>
      </c>
      <c r="C1225" s="10"/>
    </row>
    <row r="1226" spans="1:3" x14ac:dyDescent="0.3">
      <c r="A1226" t="s">
        <v>169</v>
      </c>
      <c r="B1226" s="2">
        <v>45536</v>
      </c>
      <c r="C1226" s="10" t="s">
        <v>634</v>
      </c>
    </row>
    <row r="1227" spans="1:3" x14ac:dyDescent="0.3">
      <c r="A1227" t="s">
        <v>169</v>
      </c>
      <c r="B1227" s="2">
        <v>45566</v>
      </c>
      <c r="C1227" s="10"/>
    </row>
    <row r="1228" spans="1:3" x14ac:dyDescent="0.3">
      <c r="A1228" t="s">
        <v>169</v>
      </c>
      <c r="B1228" s="2">
        <v>45597</v>
      </c>
      <c r="C1228" s="10"/>
    </row>
    <row r="1229" spans="1:3" x14ac:dyDescent="0.3">
      <c r="A1229" t="s">
        <v>169</v>
      </c>
      <c r="B1229" s="2">
        <v>45627</v>
      </c>
      <c r="C1229" s="10"/>
    </row>
    <row r="1230" spans="1:3" x14ac:dyDescent="0.3">
      <c r="A1230" t="s">
        <v>169</v>
      </c>
      <c r="B1230" s="2">
        <v>45658</v>
      </c>
      <c r="C1230" s="10"/>
    </row>
    <row r="1231" spans="1:3" x14ac:dyDescent="0.3">
      <c r="A1231" t="s">
        <v>169</v>
      </c>
      <c r="B1231" s="2">
        <v>45689</v>
      </c>
      <c r="C1231" s="10" t="s">
        <v>635</v>
      </c>
    </row>
    <row r="1232" spans="1:3" x14ac:dyDescent="0.3">
      <c r="A1232" t="s">
        <v>169</v>
      </c>
      <c r="B1232" s="2">
        <v>45717</v>
      </c>
      <c r="C1232" s="10" t="s">
        <v>635</v>
      </c>
    </row>
    <row r="1233" spans="1:3" x14ac:dyDescent="0.3">
      <c r="A1233" t="s">
        <v>169</v>
      </c>
      <c r="B1233" s="2">
        <v>45748</v>
      </c>
      <c r="C1233" s="10" t="s">
        <v>635</v>
      </c>
    </row>
    <row r="1234" spans="1:3" ht="57.6" customHeight="1" x14ac:dyDescent="0.3">
      <c r="A1234" t="s">
        <v>169</v>
      </c>
      <c r="B1234" s="2">
        <v>45778</v>
      </c>
      <c r="C1234" s="10" t="s">
        <v>636</v>
      </c>
    </row>
    <row r="1235" spans="1:3" ht="57.6" customHeight="1" x14ac:dyDescent="0.3">
      <c r="A1235" t="s">
        <v>169</v>
      </c>
      <c r="B1235" s="2">
        <v>45809</v>
      </c>
      <c r="C1235" s="10" t="s">
        <v>637</v>
      </c>
    </row>
    <row r="1236" spans="1:3" ht="57.6" customHeight="1" x14ac:dyDescent="0.3">
      <c r="A1236" t="s">
        <v>169</v>
      </c>
      <c r="B1236" s="2">
        <v>45839</v>
      </c>
      <c r="C1236" s="10" t="s">
        <v>638</v>
      </c>
    </row>
    <row r="1237" spans="1:3" ht="57.6" customHeight="1" x14ac:dyDescent="0.3">
      <c r="A1237" t="s">
        <v>169</v>
      </c>
      <c r="B1237" s="2">
        <v>45870</v>
      </c>
      <c r="C1237" s="10" t="s">
        <v>639</v>
      </c>
    </row>
    <row r="1238" spans="1:3" ht="57.6" customHeight="1" x14ac:dyDescent="0.3">
      <c r="A1238" t="s">
        <v>169</v>
      </c>
      <c r="B1238" s="2">
        <v>45901</v>
      </c>
      <c r="C1238" s="10" t="s">
        <v>640</v>
      </c>
    </row>
    <row r="1239" spans="1:3" ht="57.6" customHeight="1" x14ac:dyDescent="0.3">
      <c r="A1239" t="s">
        <v>169</v>
      </c>
      <c r="B1239" s="2">
        <v>45931</v>
      </c>
      <c r="C1239" s="10" t="s">
        <v>641</v>
      </c>
    </row>
    <row r="1240" spans="1:3" ht="57.6" customHeight="1" x14ac:dyDescent="0.3">
      <c r="A1240" t="s">
        <v>169</v>
      </c>
      <c r="B1240" s="2">
        <v>45962</v>
      </c>
      <c r="C1240" s="10" t="s">
        <v>642</v>
      </c>
    </row>
    <row r="1241" spans="1:3" ht="28.8" x14ac:dyDescent="0.3">
      <c r="A1241" t="s">
        <v>169</v>
      </c>
      <c r="B1241" s="2">
        <v>45992</v>
      </c>
      <c r="C1241" s="10" t="s">
        <v>643</v>
      </c>
    </row>
    <row r="1242" spans="1:3" ht="28.8" x14ac:dyDescent="0.3">
      <c r="A1242" t="s">
        <v>169</v>
      </c>
      <c r="B1242" s="2">
        <v>46023</v>
      </c>
      <c r="C1242" s="10" t="s">
        <v>643</v>
      </c>
    </row>
    <row r="1243" spans="1:3" ht="28.8" x14ac:dyDescent="0.3">
      <c r="A1243" t="s">
        <v>169</v>
      </c>
      <c r="B1243" s="2">
        <v>46054</v>
      </c>
      <c r="C1243" s="10" t="s">
        <v>643</v>
      </c>
    </row>
    <row r="1244" spans="1:3" x14ac:dyDescent="0.3">
      <c r="A1244" t="s">
        <v>169</v>
      </c>
      <c r="B1244" s="2">
        <v>46082</v>
      </c>
      <c r="C1244" s="10" t="s">
        <v>633</v>
      </c>
    </row>
    <row r="1245" spans="1:3" x14ac:dyDescent="0.3">
      <c r="A1245" t="s">
        <v>169</v>
      </c>
      <c r="B1245" s="2">
        <v>46113</v>
      </c>
      <c r="C1245" s="10" t="s">
        <v>633</v>
      </c>
    </row>
    <row r="1246" spans="1:3" x14ac:dyDescent="0.3">
      <c r="A1246" t="s">
        <v>169</v>
      </c>
      <c r="B1246" s="2">
        <v>46143</v>
      </c>
      <c r="C1246" s="10" t="s">
        <v>853</v>
      </c>
    </row>
    <row r="1247" spans="1:3" x14ac:dyDescent="0.3">
      <c r="A1247" t="s">
        <v>169</v>
      </c>
      <c r="B1247" s="2">
        <v>46174</v>
      </c>
      <c r="C1247" s="10"/>
    </row>
    <row r="1248" spans="1:3" x14ac:dyDescent="0.3">
      <c r="A1248" t="s">
        <v>169</v>
      </c>
      <c r="B1248" s="2">
        <v>46204</v>
      </c>
      <c r="C1248" s="10"/>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644</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645</v>
      </c>
    </row>
    <row r="1256" spans="1:3" x14ac:dyDescent="0.3">
      <c r="A1256" t="s">
        <v>171</v>
      </c>
      <c r="B1256" s="2">
        <v>45717</v>
      </c>
      <c r="C1256" s="10" t="s">
        <v>645</v>
      </c>
    </row>
    <row r="1257" spans="1:3" ht="57.6" customHeight="1" x14ac:dyDescent="0.3">
      <c r="A1257" t="s">
        <v>171</v>
      </c>
      <c r="B1257" s="2">
        <v>45748</v>
      </c>
      <c r="C1257" s="10" t="s">
        <v>646</v>
      </c>
    </row>
    <row r="1258" spans="1:3" ht="57.6" customHeight="1" x14ac:dyDescent="0.3">
      <c r="A1258" t="s">
        <v>171</v>
      </c>
      <c r="B1258" s="2">
        <v>45778</v>
      </c>
      <c r="C1258" s="10" t="s">
        <v>647</v>
      </c>
    </row>
    <row r="1259" spans="1:3" ht="57.6" customHeight="1" x14ac:dyDescent="0.3">
      <c r="A1259" t="s">
        <v>171</v>
      </c>
      <c r="B1259" s="2">
        <v>45809</v>
      </c>
      <c r="C1259" s="10" t="s">
        <v>648</v>
      </c>
    </row>
    <row r="1260" spans="1:3" ht="57.6" customHeight="1" x14ac:dyDescent="0.3">
      <c r="A1260" t="s">
        <v>171</v>
      </c>
      <c r="B1260" s="2">
        <v>45839</v>
      </c>
      <c r="C1260" s="10" t="s">
        <v>649</v>
      </c>
    </row>
    <row r="1261" spans="1:3" ht="57.6" customHeight="1" x14ac:dyDescent="0.3">
      <c r="A1261" t="s">
        <v>171</v>
      </c>
      <c r="B1261" s="2">
        <v>45870</v>
      </c>
      <c r="C1261" s="10" t="s">
        <v>650</v>
      </c>
    </row>
    <row r="1262" spans="1:3" ht="57.6" customHeight="1" x14ac:dyDescent="0.3">
      <c r="A1262" t="s">
        <v>171</v>
      </c>
      <c r="B1262" s="2">
        <v>45901</v>
      </c>
      <c r="C1262" s="10" t="s">
        <v>651</v>
      </c>
    </row>
    <row r="1263" spans="1:3" ht="57.6" customHeight="1" x14ac:dyDescent="0.3">
      <c r="A1263" t="s">
        <v>171</v>
      </c>
      <c r="B1263" s="2">
        <v>45931</v>
      </c>
      <c r="C1263" s="10" t="s">
        <v>652</v>
      </c>
    </row>
    <row r="1264" spans="1:3" ht="57.6" customHeight="1" x14ac:dyDescent="0.3">
      <c r="A1264" t="s">
        <v>171</v>
      </c>
      <c r="B1264" s="2">
        <v>45962</v>
      </c>
      <c r="C1264" s="10" t="s">
        <v>653</v>
      </c>
    </row>
    <row r="1265" spans="1:3" x14ac:dyDescent="0.3">
      <c r="A1265" t="s">
        <v>171</v>
      </c>
      <c r="B1265" s="2">
        <v>45992</v>
      </c>
      <c r="C1265" s="10" t="s">
        <v>599</v>
      </c>
    </row>
    <row r="1266" spans="1:3" x14ac:dyDescent="0.3">
      <c r="A1266" t="s">
        <v>171</v>
      </c>
      <c r="B1266" s="2">
        <v>46023</v>
      </c>
      <c r="C1266" s="10" t="s">
        <v>339</v>
      </c>
    </row>
    <row r="1267" spans="1:3" x14ac:dyDescent="0.3">
      <c r="A1267" t="s">
        <v>171</v>
      </c>
      <c r="B1267" s="2">
        <v>46054</v>
      </c>
      <c r="C1267" s="10" t="s">
        <v>327</v>
      </c>
    </row>
    <row r="1268" spans="1:3" x14ac:dyDescent="0.3">
      <c r="A1268" t="s">
        <v>171</v>
      </c>
      <c r="B1268" s="2">
        <v>46082</v>
      </c>
      <c r="C1268" s="10" t="s">
        <v>327</v>
      </c>
    </row>
    <row r="1269" spans="1:3" x14ac:dyDescent="0.3">
      <c r="A1269" t="s">
        <v>171</v>
      </c>
      <c r="B1269" s="2">
        <v>46113</v>
      </c>
      <c r="C1269" s="10" t="s">
        <v>303</v>
      </c>
    </row>
    <row r="1270" spans="1:3" x14ac:dyDescent="0.3">
      <c r="A1270" t="s">
        <v>171</v>
      </c>
      <c r="B1270" s="2">
        <v>46143</v>
      </c>
      <c r="C1270" s="10" t="s">
        <v>303</v>
      </c>
    </row>
    <row r="1271" spans="1:3" x14ac:dyDescent="0.3">
      <c r="A1271" t="s">
        <v>171</v>
      </c>
      <c r="B1271" s="2">
        <v>46174</v>
      </c>
      <c r="C1271" s="10"/>
    </row>
    <row r="1272" spans="1:3" x14ac:dyDescent="0.3">
      <c r="A1272" t="s">
        <v>171</v>
      </c>
      <c r="B1272" s="2">
        <v>46204</v>
      </c>
      <c r="C1272" s="10"/>
    </row>
    <row r="1273" spans="1:3" x14ac:dyDescent="0.3">
      <c r="A1273" t="s">
        <v>171</v>
      </c>
      <c r="B1273" s="2">
        <v>46235</v>
      </c>
      <c r="C1273" s="10"/>
    </row>
    <row r="1274" spans="1:3" x14ac:dyDescent="0.3">
      <c r="A1274" t="s">
        <v>172</v>
      </c>
      <c r="B1274" s="2">
        <v>45536</v>
      </c>
      <c r="C1274" s="10"/>
    </row>
    <row r="1275" spans="1:3" x14ac:dyDescent="0.3">
      <c r="A1275" t="s">
        <v>172</v>
      </c>
      <c r="B1275" s="2">
        <v>45566</v>
      </c>
      <c r="C1275" s="10"/>
    </row>
    <row r="1276" spans="1:3" x14ac:dyDescent="0.3">
      <c r="A1276" t="s">
        <v>172</v>
      </c>
      <c r="B1276" s="2">
        <v>45597</v>
      </c>
      <c r="C1276" s="10"/>
    </row>
    <row r="1277" spans="1:3" x14ac:dyDescent="0.3">
      <c r="A1277" t="s">
        <v>172</v>
      </c>
      <c r="B1277" s="2">
        <v>45627</v>
      </c>
      <c r="C1277" s="10"/>
    </row>
    <row r="1278" spans="1:3" x14ac:dyDescent="0.3">
      <c r="A1278" t="s">
        <v>172</v>
      </c>
      <c r="B1278" s="2">
        <v>45658</v>
      </c>
      <c r="C1278" s="10"/>
    </row>
    <row r="1279" spans="1:3" x14ac:dyDescent="0.3">
      <c r="A1279" t="s">
        <v>172</v>
      </c>
      <c r="B1279" s="2">
        <v>45689</v>
      </c>
      <c r="C1279" s="10" t="s">
        <v>654</v>
      </c>
    </row>
    <row r="1280" spans="1:3" ht="28.95" customHeight="1" x14ac:dyDescent="0.3">
      <c r="A1280" t="s">
        <v>172</v>
      </c>
      <c r="B1280" s="2">
        <v>45717</v>
      </c>
      <c r="C1280" s="10" t="s">
        <v>655</v>
      </c>
    </row>
    <row r="1281" spans="1:3" ht="28.95" customHeight="1" x14ac:dyDescent="0.3">
      <c r="A1281" t="s">
        <v>172</v>
      </c>
      <c r="B1281" s="2">
        <v>45748</v>
      </c>
      <c r="C1281" s="10" t="s">
        <v>655</v>
      </c>
    </row>
    <row r="1282" spans="1:3" ht="57.6" customHeight="1" x14ac:dyDescent="0.3">
      <c r="A1282" t="s">
        <v>172</v>
      </c>
      <c r="B1282" s="2">
        <v>45778</v>
      </c>
      <c r="C1282" s="10" t="s">
        <v>656</v>
      </c>
    </row>
    <row r="1283" spans="1:3" ht="57.6" customHeight="1" x14ac:dyDescent="0.3">
      <c r="A1283" t="s">
        <v>172</v>
      </c>
      <c r="B1283" s="2">
        <v>45809</v>
      </c>
      <c r="C1283" s="10" t="s">
        <v>657</v>
      </c>
    </row>
    <row r="1284" spans="1:3" ht="57.6" customHeight="1" x14ac:dyDescent="0.3">
      <c r="A1284" t="s">
        <v>172</v>
      </c>
      <c r="B1284" s="2">
        <v>45839</v>
      </c>
      <c r="C1284" s="10" t="s">
        <v>658</v>
      </c>
    </row>
    <row r="1285" spans="1:3" ht="57.6" customHeight="1" x14ac:dyDescent="0.3">
      <c r="A1285" t="s">
        <v>172</v>
      </c>
      <c r="B1285" s="2">
        <v>45870</v>
      </c>
      <c r="C1285" s="10" t="s">
        <v>659</v>
      </c>
    </row>
    <row r="1286" spans="1:3" ht="57.6" customHeight="1" x14ac:dyDescent="0.3">
      <c r="A1286" t="s">
        <v>172</v>
      </c>
      <c r="B1286" s="2">
        <v>45901</v>
      </c>
      <c r="C1286" s="10" t="s">
        <v>660</v>
      </c>
    </row>
    <row r="1287" spans="1:3" ht="57.6" customHeight="1" x14ac:dyDescent="0.3">
      <c r="A1287" t="s">
        <v>172</v>
      </c>
      <c r="B1287" s="2">
        <v>45931</v>
      </c>
      <c r="C1287" s="10" t="s">
        <v>661</v>
      </c>
    </row>
    <row r="1288" spans="1:3" ht="57.6" customHeight="1" x14ac:dyDescent="0.3">
      <c r="A1288" t="s">
        <v>172</v>
      </c>
      <c r="B1288" s="2">
        <v>45962</v>
      </c>
      <c r="C1288" s="10" t="s">
        <v>662</v>
      </c>
    </row>
    <row r="1289" spans="1:3" x14ac:dyDescent="0.3">
      <c r="A1289" t="s">
        <v>172</v>
      </c>
      <c r="B1289" s="2">
        <v>45992</v>
      </c>
      <c r="C1289" s="10" t="s">
        <v>599</v>
      </c>
    </row>
    <row r="1290" spans="1:3" ht="28.8" x14ac:dyDescent="0.3">
      <c r="A1290" t="s">
        <v>172</v>
      </c>
      <c r="B1290" s="2">
        <v>46023</v>
      </c>
      <c r="C1290" s="10" t="s">
        <v>663</v>
      </c>
    </row>
    <row r="1291" spans="1:3" ht="28.8" x14ac:dyDescent="0.3">
      <c r="A1291" t="s">
        <v>172</v>
      </c>
      <c r="B1291" s="2">
        <v>46054</v>
      </c>
      <c r="C1291" s="10" t="s">
        <v>663</v>
      </c>
    </row>
    <row r="1292" spans="1:3" ht="43.2" x14ac:dyDescent="0.3">
      <c r="A1292" t="s">
        <v>172</v>
      </c>
      <c r="B1292" s="2">
        <v>46082</v>
      </c>
      <c r="C1292" s="10" t="s">
        <v>664</v>
      </c>
    </row>
    <row r="1293" spans="1:3" ht="28.8" x14ac:dyDescent="0.3">
      <c r="A1293" t="s">
        <v>172</v>
      </c>
      <c r="B1293" s="2">
        <v>46113</v>
      </c>
      <c r="C1293" s="10" t="s">
        <v>665</v>
      </c>
    </row>
    <row r="1294" spans="1:3" ht="28.8" x14ac:dyDescent="0.3">
      <c r="A1294" t="s">
        <v>172</v>
      </c>
      <c r="B1294" s="2">
        <v>46143</v>
      </c>
      <c r="C1294" s="10" t="s">
        <v>868</v>
      </c>
    </row>
    <row r="1295" spans="1:3" x14ac:dyDescent="0.3">
      <c r="A1295" t="s">
        <v>172</v>
      </c>
      <c r="B1295" s="2">
        <v>46174</v>
      </c>
      <c r="C1295" s="10"/>
    </row>
    <row r="1296" spans="1:3" x14ac:dyDescent="0.3">
      <c r="A1296" t="s">
        <v>172</v>
      </c>
      <c r="B1296" s="2">
        <v>46204</v>
      </c>
      <c r="C1296" s="10"/>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666</v>
      </c>
    </row>
    <row r="1304" spans="1:3" x14ac:dyDescent="0.3">
      <c r="A1304" t="s">
        <v>177</v>
      </c>
      <c r="B1304" s="2">
        <v>45717</v>
      </c>
      <c r="C1304" s="10" t="s">
        <v>666</v>
      </c>
    </row>
    <row r="1305" spans="1:3" x14ac:dyDescent="0.3">
      <c r="A1305" t="s">
        <v>177</v>
      </c>
      <c r="B1305" s="2">
        <v>45748</v>
      </c>
      <c r="C1305" s="10" t="s">
        <v>666</v>
      </c>
    </row>
    <row r="1306" spans="1:3" ht="57.6" customHeight="1" x14ac:dyDescent="0.3">
      <c r="A1306" t="s">
        <v>177</v>
      </c>
      <c r="B1306" s="2">
        <v>45778</v>
      </c>
      <c r="C1306" s="10" t="s">
        <v>667</v>
      </c>
    </row>
    <row r="1307" spans="1:3" ht="57.6" customHeight="1" x14ac:dyDescent="0.3">
      <c r="A1307" t="s">
        <v>177</v>
      </c>
      <c r="B1307" s="2">
        <v>45809</v>
      </c>
      <c r="C1307" s="10" t="s">
        <v>668</v>
      </c>
    </row>
    <row r="1308" spans="1:3" ht="57.6" customHeight="1" x14ac:dyDescent="0.3">
      <c r="A1308" t="s">
        <v>177</v>
      </c>
      <c r="B1308" s="2">
        <v>45839</v>
      </c>
      <c r="C1308" s="10" t="s">
        <v>669</v>
      </c>
    </row>
    <row r="1309" spans="1:3" ht="57.6" customHeight="1" x14ac:dyDescent="0.3">
      <c r="A1309" t="s">
        <v>177</v>
      </c>
      <c r="B1309" s="2">
        <v>45870</v>
      </c>
      <c r="C1309" s="10" t="s">
        <v>670</v>
      </c>
    </row>
    <row r="1310" spans="1:3" ht="57.6" customHeight="1" x14ac:dyDescent="0.3">
      <c r="A1310" t="s">
        <v>177</v>
      </c>
      <c r="B1310" s="2">
        <v>45901</v>
      </c>
      <c r="C1310" s="10" t="s">
        <v>671</v>
      </c>
    </row>
    <row r="1311" spans="1:3" ht="57.6" customHeight="1" x14ac:dyDescent="0.3">
      <c r="A1311" t="s">
        <v>177</v>
      </c>
      <c r="B1311" s="2">
        <v>45931</v>
      </c>
      <c r="C1311" s="10" t="s">
        <v>672</v>
      </c>
    </row>
    <row r="1312" spans="1:3" ht="57.6" customHeight="1" x14ac:dyDescent="0.3">
      <c r="A1312" t="s">
        <v>177</v>
      </c>
      <c r="B1312" s="2">
        <v>45962</v>
      </c>
      <c r="C1312" s="10" t="s">
        <v>673</v>
      </c>
    </row>
    <row r="1313" spans="1:3" ht="28.8" x14ac:dyDescent="0.3">
      <c r="A1313" t="s">
        <v>177</v>
      </c>
      <c r="B1313" s="2">
        <v>45992</v>
      </c>
      <c r="C1313" s="10" t="s">
        <v>674</v>
      </c>
    </row>
    <row r="1314" spans="1:3" x14ac:dyDescent="0.3">
      <c r="A1314" t="s">
        <v>177</v>
      </c>
      <c r="B1314" s="2">
        <v>46023</v>
      </c>
      <c r="C1314" s="10" t="s">
        <v>675</v>
      </c>
    </row>
    <row r="1315" spans="1:3" x14ac:dyDescent="0.3">
      <c r="A1315" t="s">
        <v>177</v>
      </c>
      <c r="B1315" s="2">
        <v>46054</v>
      </c>
      <c r="C1315" s="10" t="s">
        <v>327</v>
      </c>
    </row>
    <row r="1316" spans="1:3" x14ac:dyDescent="0.3">
      <c r="A1316" t="s">
        <v>177</v>
      </c>
      <c r="B1316" s="2">
        <v>46082</v>
      </c>
      <c r="C1316" s="10" t="s">
        <v>327</v>
      </c>
    </row>
    <row r="1317" spans="1:3" x14ac:dyDescent="0.3">
      <c r="A1317" t="s">
        <v>177</v>
      </c>
      <c r="B1317" s="2">
        <v>46113</v>
      </c>
      <c r="C1317" s="10" t="s">
        <v>303</v>
      </c>
    </row>
    <row r="1318" spans="1:3" x14ac:dyDescent="0.3">
      <c r="A1318" t="s">
        <v>177</v>
      </c>
      <c r="B1318" s="2">
        <v>46143</v>
      </c>
      <c r="C1318" s="10" t="s">
        <v>303</v>
      </c>
    </row>
    <row r="1319" spans="1:3" x14ac:dyDescent="0.3">
      <c r="A1319" t="s">
        <v>177</v>
      </c>
      <c r="B1319" s="2">
        <v>46174</v>
      </c>
      <c r="C1319" s="10"/>
    </row>
    <row r="1320" spans="1:3" x14ac:dyDescent="0.3">
      <c r="A1320" t="s">
        <v>177</v>
      </c>
      <c r="B1320" s="2">
        <v>46204</v>
      </c>
      <c r="C1320" s="10"/>
    </row>
    <row r="1321" spans="1:3" x14ac:dyDescent="0.3">
      <c r="A1321" t="s">
        <v>177</v>
      </c>
      <c r="B1321" s="2">
        <v>46235</v>
      </c>
      <c r="C1321" s="10"/>
    </row>
    <row r="1322" spans="1:3" x14ac:dyDescent="0.3">
      <c r="A1322" t="s">
        <v>266</v>
      </c>
      <c r="B1322" s="2">
        <v>45536</v>
      </c>
      <c r="C1322" s="10"/>
    </row>
    <row r="1323" spans="1:3" x14ac:dyDescent="0.3">
      <c r="A1323" t="s">
        <v>266</v>
      </c>
      <c r="B1323" s="2">
        <v>45566</v>
      </c>
      <c r="C1323" s="10" t="s">
        <v>676</v>
      </c>
    </row>
    <row r="1324" spans="1:3" x14ac:dyDescent="0.3">
      <c r="A1324" t="s">
        <v>266</v>
      </c>
      <c r="B1324" s="2">
        <v>45597</v>
      </c>
      <c r="C1324" s="10"/>
    </row>
    <row r="1325" spans="1:3" x14ac:dyDescent="0.3">
      <c r="A1325" t="s">
        <v>266</v>
      </c>
      <c r="B1325" s="2">
        <v>45627</v>
      </c>
      <c r="C1325" s="10"/>
    </row>
    <row r="1326" spans="1:3" x14ac:dyDescent="0.3">
      <c r="A1326" t="s">
        <v>266</v>
      </c>
      <c r="B1326" s="2">
        <v>45658</v>
      </c>
      <c r="C1326" s="10"/>
    </row>
    <row r="1327" spans="1:3" x14ac:dyDescent="0.3">
      <c r="A1327" t="s">
        <v>266</v>
      </c>
      <c r="B1327" s="2">
        <v>45689</v>
      </c>
      <c r="C1327" s="10" t="s">
        <v>677</v>
      </c>
    </row>
    <row r="1328" spans="1:3" ht="28.95" customHeight="1" x14ac:dyDescent="0.3">
      <c r="A1328" t="s">
        <v>266</v>
      </c>
      <c r="B1328" s="2">
        <v>45717</v>
      </c>
      <c r="C1328" s="10" t="s">
        <v>678</v>
      </c>
    </row>
    <row r="1329" spans="1:3" ht="28.95" customHeight="1" x14ac:dyDescent="0.3">
      <c r="A1329" t="s">
        <v>266</v>
      </c>
      <c r="B1329" s="2">
        <v>45748</v>
      </c>
      <c r="C1329" s="10" t="s">
        <v>678</v>
      </c>
    </row>
    <row r="1330" spans="1:3" ht="72" customHeight="1" x14ac:dyDescent="0.3">
      <c r="A1330" t="s">
        <v>266</v>
      </c>
      <c r="B1330" s="2">
        <v>45778</v>
      </c>
      <c r="C1330" s="10" t="s">
        <v>679</v>
      </c>
    </row>
    <row r="1331" spans="1:3" ht="57.6" customHeight="1" x14ac:dyDescent="0.3">
      <c r="A1331" t="s">
        <v>266</v>
      </c>
      <c r="B1331" s="2">
        <v>45809</v>
      </c>
      <c r="C1331" s="10" t="s">
        <v>680</v>
      </c>
    </row>
    <row r="1332" spans="1:3" ht="57.6" customHeight="1" x14ac:dyDescent="0.3">
      <c r="A1332" t="s">
        <v>266</v>
      </c>
      <c r="B1332" s="2">
        <v>45839</v>
      </c>
      <c r="C1332" s="10" t="s">
        <v>681</v>
      </c>
    </row>
    <row r="1333" spans="1:3" ht="57.6" customHeight="1" x14ac:dyDescent="0.3">
      <c r="A1333" t="s">
        <v>266</v>
      </c>
      <c r="B1333" s="2">
        <v>45870</v>
      </c>
      <c r="C1333" s="10" t="s">
        <v>682</v>
      </c>
    </row>
    <row r="1334" spans="1:3" ht="57.6" customHeight="1" x14ac:dyDescent="0.3">
      <c r="A1334" t="s">
        <v>266</v>
      </c>
      <c r="B1334" s="2">
        <v>45901</v>
      </c>
      <c r="C1334" s="10" t="s">
        <v>683</v>
      </c>
    </row>
    <row r="1335" spans="1:3" ht="57.6" customHeight="1" x14ac:dyDescent="0.3">
      <c r="A1335" t="s">
        <v>266</v>
      </c>
      <c r="B1335" s="2">
        <v>45931</v>
      </c>
      <c r="C1335" s="10" t="s">
        <v>684</v>
      </c>
    </row>
    <row r="1336" spans="1:3" ht="57.6" customHeight="1" x14ac:dyDescent="0.3">
      <c r="A1336" t="s">
        <v>266</v>
      </c>
      <c r="B1336" s="2">
        <v>45962</v>
      </c>
      <c r="C1336" s="10" t="s">
        <v>685</v>
      </c>
    </row>
    <row r="1337" spans="1:3" ht="28.8" x14ac:dyDescent="0.3">
      <c r="A1337" t="s">
        <v>266</v>
      </c>
      <c r="B1337" s="2">
        <v>45992</v>
      </c>
      <c r="C1337" s="10" t="s">
        <v>686</v>
      </c>
    </row>
    <row r="1338" spans="1:3" ht="28.8" x14ac:dyDescent="0.3">
      <c r="A1338" t="s">
        <v>266</v>
      </c>
      <c r="B1338" s="2">
        <v>46023</v>
      </c>
      <c r="C1338" s="10" t="s">
        <v>687</v>
      </c>
    </row>
    <row r="1339" spans="1:3" ht="28.8" x14ac:dyDescent="0.3">
      <c r="A1339" t="s">
        <v>266</v>
      </c>
      <c r="B1339" s="2">
        <v>46054</v>
      </c>
      <c r="C1339" s="10" t="s">
        <v>687</v>
      </c>
    </row>
    <row r="1340" spans="1:3" ht="28.8" x14ac:dyDescent="0.3">
      <c r="A1340" t="s">
        <v>266</v>
      </c>
      <c r="B1340" s="2">
        <v>46082</v>
      </c>
      <c r="C1340" s="10" t="s">
        <v>688</v>
      </c>
    </row>
    <row r="1341" spans="1:3" ht="28.8" x14ac:dyDescent="0.3">
      <c r="A1341" t="s">
        <v>266</v>
      </c>
      <c r="B1341" s="2">
        <v>46113</v>
      </c>
      <c r="C1341" s="10" t="s">
        <v>688</v>
      </c>
    </row>
    <row r="1342" spans="1:3" ht="28.8" x14ac:dyDescent="0.3">
      <c r="A1342" t="s">
        <v>266</v>
      </c>
      <c r="B1342" s="2">
        <v>46143</v>
      </c>
      <c r="C1342" s="10" t="s">
        <v>861</v>
      </c>
    </row>
    <row r="1343" spans="1:3" x14ac:dyDescent="0.3">
      <c r="A1343" t="s">
        <v>266</v>
      </c>
      <c r="B1343" s="2">
        <v>46174</v>
      </c>
      <c r="C1343" s="10"/>
    </row>
    <row r="1344" spans="1:3" x14ac:dyDescent="0.3">
      <c r="A1344" t="s">
        <v>266</v>
      </c>
      <c r="B1344" s="2">
        <v>46204</v>
      </c>
      <c r="C1344" s="10"/>
    </row>
    <row r="1345" spans="1:3" x14ac:dyDescent="0.3">
      <c r="A1345" t="s">
        <v>266</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689</v>
      </c>
    </row>
    <row r="1352" spans="1:3" ht="28.8" x14ac:dyDescent="0.3">
      <c r="A1352" t="s">
        <v>180</v>
      </c>
      <c r="B1352" s="2">
        <v>45717</v>
      </c>
      <c r="C1352" s="10" t="s">
        <v>690</v>
      </c>
    </row>
    <row r="1353" spans="1:3" ht="28.8" x14ac:dyDescent="0.3">
      <c r="A1353" t="s">
        <v>180</v>
      </c>
      <c r="B1353" s="2">
        <v>45748</v>
      </c>
      <c r="C1353" s="10" t="s">
        <v>690</v>
      </c>
    </row>
    <row r="1354" spans="1:3" ht="57.6" customHeight="1" x14ac:dyDescent="0.3">
      <c r="A1354" t="s">
        <v>180</v>
      </c>
      <c r="B1354" s="2">
        <v>45778</v>
      </c>
      <c r="C1354" s="10" t="s">
        <v>691</v>
      </c>
    </row>
    <row r="1355" spans="1:3" ht="43.2" customHeight="1" x14ac:dyDescent="0.3">
      <c r="A1355" t="s">
        <v>180</v>
      </c>
      <c r="B1355" s="2">
        <v>45809</v>
      </c>
      <c r="C1355" s="10" t="s">
        <v>692</v>
      </c>
    </row>
    <row r="1356" spans="1:3" ht="57.6" customHeight="1" x14ac:dyDescent="0.3">
      <c r="A1356" t="s">
        <v>180</v>
      </c>
      <c r="B1356" s="2">
        <v>45839</v>
      </c>
      <c r="C1356" s="10" t="s">
        <v>693</v>
      </c>
    </row>
    <row r="1357" spans="1:3" ht="43.2" customHeight="1" x14ac:dyDescent="0.3">
      <c r="A1357" t="s">
        <v>180</v>
      </c>
      <c r="B1357" s="2">
        <v>45870</v>
      </c>
      <c r="C1357" s="10" t="s">
        <v>694</v>
      </c>
    </row>
    <row r="1358" spans="1:3" ht="43.2" customHeight="1" x14ac:dyDescent="0.3">
      <c r="A1358" t="s">
        <v>180</v>
      </c>
      <c r="B1358" s="2">
        <v>45901</v>
      </c>
      <c r="C1358" s="10" t="s">
        <v>695</v>
      </c>
    </row>
    <row r="1359" spans="1:3" ht="43.2" customHeight="1" x14ac:dyDescent="0.3">
      <c r="A1359" t="s">
        <v>180</v>
      </c>
      <c r="B1359" s="2">
        <v>45931</v>
      </c>
      <c r="C1359" s="10" t="s">
        <v>696</v>
      </c>
    </row>
    <row r="1360" spans="1:3" ht="43.2" customHeight="1" x14ac:dyDescent="0.3">
      <c r="A1360" t="s">
        <v>180</v>
      </c>
      <c r="B1360" s="2">
        <v>45962</v>
      </c>
      <c r="C1360" s="10" t="s">
        <v>697</v>
      </c>
    </row>
    <row r="1361" spans="1:3" x14ac:dyDescent="0.3">
      <c r="A1361" t="s">
        <v>180</v>
      </c>
      <c r="B1361" s="2">
        <v>45992</v>
      </c>
      <c r="C1361" s="10" t="s">
        <v>599</v>
      </c>
    </row>
    <row r="1362" spans="1:3" x14ac:dyDescent="0.3">
      <c r="A1362" t="s">
        <v>180</v>
      </c>
      <c r="B1362" s="2">
        <v>46023</v>
      </c>
      <c r="C1362" s="10" t="s">
        <v>339</v>
      </c>
    </row>
    <row r="1363" spans="1:3" x14ac:dyDescent="0.3">
      <c r="A1363" t="s">
        <v>180</v>
      </c>
      <c r="B1363" s="2">
        <v>46054</v>
      </c>
      <c r="C1363" s="10" t="s">
        <v>327</v>
      </c>
    </row>
    <row r="1364" spans="1:3" x14ac:dyDescent="0.3">
      <c r="A1364" t="s">
        <v>180</v>
      </c>
      <c r="B1364" s="2">
        <v>46082</v>
      </c>
      <c r="C1364" s="10" t="s">
        <v>327</v>
      </c>
    </row>
    <row r="1365" spans="1:3" x14ac:dyDescent="0.3">
      <c r="A1365" t="s">
        <v>180</v>
      </c>
      <c r="B1365" s="2">
        <v>46113</v>
      </c>
      <c r="C1365" s="10" t="s">
        <v>327</v>
      </c>
    </row>
    <row r="1366" spans="1:3" x14ac:dyDescent="0.3">
      <c r="A1366" t="s">
        <v>180</v>
      </c>
      <c r="B1366" s="2">
        <v>46143</v>
      </c>
      <c r="C1366" s="10" t="s">
        <v>303</v>
      </c>
    </row>
    <row r="1367" spans="1:3" x14ac:dyDescent="0.3">
      <c r="A1367" t="s">
        <v>180</v>
      </c>
      <c r="B1367" s="2">
        <v>46174</v>
      </c>
      <c r="C1367" s="10"/>
    </row>
    <row r="1368" spans="1:3" x14ac:dyDescent="0.3">
      <c r="A1368" t="s">
        <v>180</v>
      </c>
      <c r="B1368" s="2">
        <v>46204</v>
      </c>
      <c r="C1368" s="10"/>
    </row>
    <row r="1369" spans="1:3" x14ac:dyDescent="0.3">
      <c r="A1369" t="s">
        <v>180</v>
      </c>
      <c r="B1369" s="2">
        <v>46235</v>
      </c>
      <c r="C1369" s="10"/>
    </row>
    <row r="1370" spans="1:3" x14ac:dyDescent="0.3">
      <c r="A1370" t="s">
        <v>241</v>
      </c>
      <c r="B1370" s="2">
        <v>45536</v>
      </c>
      <c r="C1370" s="10"/>
    </row>
    <row r="1371" spans="1:3" x14ac:dyDescent="0.3">
      <c r="A1371" t="s">
        <v>241</v>
      </c>
      <c r="B1371" s="2">
        <v>45566</v>
      </c>
      <c r="C1371" s="10"/>
    </row>
    <row r="1372" spans="1:3" x14ac:dyDescent="0.3">
      <c r="A1372" t="s">
        <v>241</v>
      </c>
      <c r="B1372" s="2">
        <v>45597</v>
      </c>
      <c r="C1372" s="10"/>
    </row>
    <row r="1373" spans="1:3" x14ac:dyDescent="0.3">
      <c r="A1373" t="s">
        <v>241</v>
      </c>
      <c r="B1373" s="2">
        <v>45627</v>
      </c>
      <c r="C1373" s="10"/>
    </row>
    <row r="1374" spans="1:3" x14ac:dyDescent="0.3">
      <c r="A1374" t="s">
        <v>241</v>
      </c>
      <c r="B1374" s="2">
        <v>45658</v>
      </c>
      <c r="C1374" s="10"/>
    </row>
    <row r="1375" spans="1:3" x14ac:dyDescent="0.3">
      <c r="A1375" t="s">
        <v>241</v>
      </c>
      <c r="B1375" s="2">
        <v>45689</v>
      </c>
      <c r="C1375" s="10"/>
    </row>
    <row r="1376" spans="1:3" x14ac:dyDescent="0.3">
      <c r="A1376" t="s">
        <v>241</v>
      </c>
      <c r="B1376" s="2">
        <v>45717</v>
      </c>
      <c r="C1376" s="10"/>
    </row>
    <row r="1377" spans="1:3" x14ac:dyDescent="0.3">
      <c r="A1377" t="s">
        <v>241</v>
      </c>
      <c r="B1377" s="2">
        <v>45748</v>
      </c>
      <c r="C1377" s="10"/>
    </row>
    <row r="1378" spans="1:3" x14ac:dyDescent="0.3">
      <c r="A1378" t="s">
        <v>241</v>
      </c>
      <c r="B1378" s="2">
        <v>45778</v>
      </c>
      <c r="C1378" s="10"/>
    </row>
    <row r="1379" spans="1:3" x14ac:dyDescent="0.3">
      <c r="A1379" t="s">
        <v>241</v>
      </c>
      <c r="B1379" s="2">
        <v>45809</v>
      </c>
      <c r="C1379" s="10"/>
    </row>
    <row r="1380" spans="1:3" x14ac:dyDescent="0.3">
      <c r="A1380" t="s">
        <v>241</v>
      </c>
      <c r="B1380" s="2">
        <v>45839</v>
      </c>
      <c r="C1380" s="10"/>
    </row>
    <row r="1381" spans="1:3" x14ac:dyDescent="0.3">
      <c r="A1381" t="s">
        <v>241</v>
      </c>
      <c r="B1381" s="2">
        <v>45870</v>
      </c>
      <c r="C1381" s="10"/>
    </row>
    <row r="1382" spans="1:3" x14ac:dyDescent="0.3">
      <c r="A1382" t="s">
        <v>241</v>
      </c>
      <c r="B1382" s="2">
        <v>45901</v>
      </c>
      <c r="C1382" s="10"/>
    </row>
    <row r="1383" spans="1:3" x14ac:dyDescent="0.3">
      <c r="A1383" t="s">
        <v>241</v>
      </c>
      <c r="B1383" s="2">
        <v>45931</v>
      </c>
      <c r="C1383" s="10"/>
    </row>
    <row r="1384" spans="1:3" x14ac:dyDescent="0.3">
      <c r="A1384" t="s">
        <v>241</v>
      </c>
      <c r="B1384" s="2">
        <v>45962</v>
      </c>
      <c r="C1384" s="10"/>
    </row>
    <row r="1385" spans="1:3" x14ac:dyDescent="0.3">
      <c r="A1385" t="s">
        <v>241</v>
      </c>
      <c r="B1385" s="2">
        <v>45992</v>
      </c>
      <c r="C1385" s="10"/>
    </row>
    <row r="1386" spans="1:3" x14ac:dyDescent="0.3">
      <c r="A1386" t="s">
        <v>241</v>
      </c>
      <c r="B1386" s="2">
        <v>46023</v>
      </c>
      <c r="C1386" s="10"/>
    </row>
    <row r="1387" spans="1:3" x14ac:dyDescent="0.3">
      <c r="A1387" t="s">
        <v>241</v>
      </c>
      <c r="B1387" s="2">
        <v>46054</v>
      </c>
      <c r="C1387" s="10"/>
    </row>
    <row r="1388" spans="1:3" x14ac:dyDescent="0.3">
      <c r="A1388" t="s">
        <v>241</v>
      </c>
      <c r="B1388" s="2">
        <v>46082</v>
      </c>
      <c r="C1388" s="10"/>
    </row>
    <row r="1389" spans="1:3" x14ac:dyDescent="0.3">
      <c r="A1389" t="s">
        <v>241</v>
      </c>
      <c r="B1389" s="2">
        <v>46113</v>
      </c>
      <c r="C1389" s="10" t="s">
        <v>460</v>
      </c>
    </row>
    <row r="1390" spans="1:3" ht="28.8" x14ac:dyDescent="0.3">
      <c r="A1390" t="s">
        <v>241</v>
      </c>
      <c r="B1390" s="2">
        <v>46143</v>
      </c>
      <c r="C1390" s="10" t="s">
        <v>867</v>
      </c>
    </row>
    <row r="1391" spans="1:3" x14ac:dyDescent="0.3">
      <c r="A1391" t="s">
        <v>241</v>
      </c>
      <c r="B1391" s="2">
        <v>46174</v>
      </c>
      <c r="C1391" s="10"/>
    </row>
    <row r="1392" spans="1:3" x14ac:dyDescent="0.3">
      <c r="A1392" t="s">
        <v>241</v>
      </c>
      <c r="B1392" s="2">
        <v>46204</v>
      </c>
      <c r="C1392" s="10"/>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698</v>
      </c>
    </row>
    <row r="1405" spans="1:3" ht="57.6" customHeight="1" x14ac:dyDescent="0.3">
      <c r="A1405" t="s">
        <v>182</v>
      </c>
      <c r="B1405" s="2">
        <v>45870</v>
      </c>
      <c r="C1405" s="10" t="s">
        <v>699</v>
      </c>
    </row>
    <row r="1406" spans="1:3" ht="43.2" customHeight="1" x14ac:dyDescent="0.3">
      <c r="A1406" t="s">
        <v>182</v>
      </c>
      <c r="B1406" s="2">
        <v>45901</v>
      </c>
      <c r="C1406" s="10" t="s">
        <v>700</v>
      </c>
    </row>
    <row r="1407" spans="1:3" ht="43.2" customHeight="1" x14ac:dyDescent="0.3">
      <c r="A1407" t="s">
        <v>182</v>
      </c>
      <c r="B1407" s="2">
        <v>45931</v>
      </c>
      <c r="C1407" s="10" t="s">
        <v>701</v>
      </c>
    </row>
    <row r="1408" spans="1:3" ht="57.6" customHeight="1" x14ac:dyDescent="0.3">
      <c r="A1408" t="s">
        <v>182</v>
      </c>
      <c r="B1408" s="2">
        <v>45962</v>
      </c>
      <c r="C1408" s="10" t="s">
        <v>702</v>
      </c>
    </row>
    <row r="1409" spans="1:3" x14ac:dyDescent="0.3">
      <c r="A1409" t="s">
        <v>182</v>
      </c>
      <c r="B1409" s="2">
        <v>45992</v>
      </c>
      <c r="C1409" s="10" t="s">
        <v>703</v>
      </c>
    </row>
    <row r="1410" spans="1:3" x14ac:dyDescent="0.3">
      <c r="A1410" t="s">
        <v>182</v>
      </c>
      <c r="B1410" s="2">
        <v>46023</v>
      </c>
      <c r="C1410" s="10" t="s">
        <v>339</v>
      </c>
    </row>
    <row r="1411" spans="1:3" ht="43.2" x14ac:dyDescent="0.3">
      <c r="A1411" t="s">
        <v>182</v>
      </c>
      <c r="B1411" s="2">
        <v>46054</v>
      </c>
      <c r="C1411" s="10" t="s">
        <v>315</v>
      </c>
    </row>
    <row r="1412" spans="1:3" ht="28.8" x14ac:dyDescent="0.3">
      <c r="A1412" t="s">
        <v>182</v>
      </c>
      <c r="B1412" s="2">
        <v>46082</v>
      </c>
      <c r="C1412" s="10" t="s">
        <v>704</v>
      </c>
    </row>
    <row r="1413" spans="1:3" ht="28.8" x14ac:dyDescent="0.3">
      <c r="A1413" t="s">
        <v>182</v>
      </c>
      <c r="B1413" s="2">
        <v>46113</v>
      </c>
      <c r="C1413" s="10" t="s">
        <v>704</v>
      </c>
    </row>
    <row r="1414" spans="1:3" ht="28.8" x14ac:dyDescent="0.3">
      <c r="A1414" t="s">
        <v>182</v>
      </c>
      <c r="B1414" s="2">
        <v>46143</v>
      </c>
      <c r="C1414" s="10" t="s">
        <v>862</v>
      </c>
    </row>
    <row r="1415" spans="1:3" x14ac:dyDescent="0.3">
      <c r="A1415" t="s">
        <v>182</v>
      </c>
      <c r="B1415" s="2">
        <v>46174</v>
      </c>
      <c r="C1415" s="10"/>
    </row>
    <row r="1416" spans="1:3" x14ac:dyDescent="0.3">
      <c r="A1416" t="s">
        <v>182</v>
      </c>
      <c r="B1416" s="2">
        <v>46204</v>
      </c>
      <c r="C1416" s="10"/>
    </row>
    <row r="1417" spans="1:3" x14ac:dyDescent="0.3">
      <c r="A1417" t="s">
        <v>182</v>
      </c>
      <c r="B1417" s="2">
        <v>46235</v>
      </c>
      <c r="C1417" s="10"/>
    </row>
    <row r="1418" spans="1:3" x14ac:dyDescent="0.3">
      <c r="A1418" t="s">
        <v>184</v>
      </c>
      <c r="B1418" s="2">
        <v>45536</v>
      </c>
      <c r="C1418" s="10"/>
    </row>
    <row r="1419" spans="1:3" ht="28.95" customHeight="1" x14ac:dyDescent="0.3">
      <c r="A1419" t="s">
        <v>184</v>
      </c>
      <c r="B1419" s="2">
        <v>45566</v>
      </c>
      <c r="C1419" s="10" t="s">
        <v>705</v>
      </c>
    </row>
    <row r="1420" spans="1:3" x14ac:dyDescent="0.3">
      <c r="A1420" t="s">
        <v>184</v>
      </c>
      <c r="B1420" s="2">
        <v>45597</v>
      </c>
      <c r="C1420" s="10"/>
    </row>
    <row r="1421" spans="1:3" x14ac:dyDescent="0.3">
      <c r="A1421" t="s">
        <v>184</v>
      </c>
      <c r="B1421" s="2">
        <v>45627</v>
      </c>
      <c r="C1421" s="10"/>
    </row>
    <row r="1422" spans="1:3" x14ac:dyDescent="0.3">
      <c r="A1422" t="s">
        <v>184</v>
      </c>
      <c r="B1422" s="2">
        <v>45658</v>
      </c>
      <c r="C1422" s="10"/>
    </row>
    <row r="1423" spans="1:3" x14ac:dyDescent="0.3">
      <c r="A1423" t="s">
        <v>184</v>
      </c>
      <c r="B1423" s="2">
        <v>45689</v>
      </c>
      <c r="C1423" s="10" t="s">
        <v>706</v>
      </c>
    </row>
    <row r="1424" spans="1:3" x14ac:dyDescent="0.3">
      <c r="A1424" t="s">
        <v>184</v>
      </c>
      <c r="B1424" s="2">
        <v>45717</v>
      </c>
      <c r="C1424" s="10" t="s">
        <v>707</v>
      </c>
    </row>
    <row r="1425" spans="1:3" x14ac:dyDescent="0.3">
      <c r="A1425" t="s">
        <v>184</v>
      </c>
      <c r="B1425" s="2">
        <v>45748</v>
      </c>
      <c r="C1425" s="10" t="s">
        <v>708</v>
      </c>
    </row>
    <row r="1426" spans="1:3" ht="43.2" customHeight="1" x14ac:dyDescent="0.3">
      <c r="A1426" t="s">
        <v>184</v>
      </c>
      <c r="B1426" s="2">
        <v>45778</v>
      </c>
      <c r="C1426" s="10" t="s">
        <v>709</v>
      </c>
    </row>
    <row r="1427" spans="1:3" ht="43.2" customHeight="1" x14ac:dyDescent="0.3">
      <c r="A1427" t="s">
        <v>184</v>
      </c>
      <c r="B1427" s="2">
        <v>45809</v>
      </c>
      <c r="C1427" s="10" t="s">
        <v>710</v>
      </c>
    </row>
    <row r="1428" spans="1:3" ht="57.6" customHeight="1" x14ac:dyDescent="0.3">
      <c r="A1428" t="s">
        <v>184</v>
      </c>
      <c r="B1428" s="2">
        <v>45839</v>
      </c>
      <c r="C1428" s="10" t="s">
        <v>711</v>
      </c>
    </row>
    <row r="1429" spans="1:3" ht="43.2" customHeight="1" x14ac:dyDescent="0.3">
      <c r="A1429" t="s">
        <v>184</v>
      </c>
      <c r="B1429" s="2">
        <v>45870</v>
      </c>
      <c r="C1429" s="10" t="s">
        <v>712</v>
      </c>
    </row>
    <row r="1430" spans="1:3" ht="43.2" customHeight="1" x14ac:dyDescent="0.3">
      <c r="A1430" t="s">
        <v>184</v>
      </c>
      <c r="B1430" s="2">
        <v>45901</v>
      </c>
      <c r="C1430" s="10" t="s">
        <v>713</v>
      </c>
    </row>
    <row r="1431" spans="1:3" ht="57.6" customHeight="1" x14ac:dyDescent="0.3">
      <c r="A1431" t="s">
        <v>184</v>
      </c>
      <c r="B1431" s="2">
        <v>45931</v>
      </c>
      <c r="C1431" s="10" t="s">
        <v>714</v>
      </c>
    </row>
    <row r="1432" spans="1:3" ht="57.6" customHeight="1" x14ac:dyDescent="0.3">
      <c r="A1432" t="s">
        <v>184</v>
      </c>
      <c r="B1432" s="2">
        <v>45962</v>
      </c>
      <c r="C1432" s="10" t="s">
        <v>715</v>
      </c>
    </row>
    <row r="1433" spans="1:3" ht="43.2" x14ac:dyDescent="0.3">
      <c r="A1433" t="s">
        <v>184</v>
      </c>
      <c r="B1433" s="2">
        <v>45992</v>
      </c>
      <c r="C1433" s="10" t="s">
        <v>315</v>
      </c>
    </row>
    <row r="1434" spans="1:3" x14ac:dyDescent="0.3">
      <c r="A1434" t="s">
        <v>184</v>
      </c>
      <c r="B1434" s="2">
        <v>46023</v>
      </c>
      <c r="C1434" s="10" t="s">
        <v>339</v>
      </c>
    </row>
    <row r="1435" spans="1:3" ht="28.8" x14ac:dyDescent="0.3">
      <c r="A1435" t="s">
        <v>184</v>
      </c>
      <c r="B1435" s="2">
        <v>46054</v>
      </c>
      <c r="C1435" s="10" t="s">
        <v>716</v>
      </c>
    </row>
    <row r="1436" spans="1:3" ht="28.8" x14ac:dyDescent="0.3">
      <c r="A1436" t="s">
        <v>184</v>
      </c>
      <c r="B1436" s="2">
        <v>46082</v>
      </c>
      <c r="C1436" s="10" t="s">
        <v>717</v>
      </c>
    </row>
    <row r="1437" spans="1:3" x14ac:dyDescent="0.3">
      <c r="A1437" t="s">
        <v>184</v>
      </c>
      <c r="B1437" s="2">
        <v>46113</v>
      </c>
      <c r="C1437" s="10" t="s">
        <v>718</v>
      </c>
    </row>
    <row r="1438" spans="1:3" ht="28.8" x14ac:dyDescent="0.3">
      <c r="A1438" t="s">
        <v>184</v>
      </c>
      <c r="B1438" s="2">
        <v>46143</v>
      </c>
      <c r="C1438" s="10" t="s">
        <v>868</v>
      </c>
    </row>
    <row r="1439" spans="1:3" x14ac:dyDescent="0.3">
      <c r="A1439" t="s">
        <v>184</v>
      </c>
      <c r="B1439" s="2">
        <v>46174</v>
      </c>
      <c r="C1439" s="10"/>
    </row>
    <row r="1440" spans="1:3" x14ac:dyDescent="0.3">
      <c r="A1440" t="s">
        <v>184</v>
      </c>
      <c r="B1440" s="2">
        <v>46204</v>
      </c>
      <c r="C1440" s="10"/>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719</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588</v>
      </c>
    </row>
    <row r="1448" spans="1:3" x14ac:dyDescent="0.3">
      <c r="A1448" t="s">
        <v>186</v>
      </c>
      <c r="B1448" s="2">
        <v>45717</v>
      </c>
      <c r="C1448" s="10" t="s">
        <v>707</v>
      </c>
    </row>
    <row r="1449" spans="1:3" x14ac:dyDescent="0.3">
      <c r="A1449" t="s">
        <v>186</v>
      </c>
      <c r="B1449" s="2">
        <v>45748</v>
      </c>
      <c r="C1449" s="10"/>
    </row>
    <row r="1450" spans="1:3" ht="43.2" customHeight="1" x14ac:dyDescent="0.3">
      <c r="A1450" t="s">
        <v>186</v>
      </c>
      <c r="B1450" s="2">
        <v>45778</v>
      </c>
      <c r="C1450" s="10" t="s">
        <v>720</v>
      </c>
    </row>
    <row r="1451" spans="1:3" ht="43.2" customHeight="1" x14ac:dyDescent="0.3">
      <c r="A1451" t="s">
        <v>186</v>
      </c>
      <c r="B1451" s="2">
        <v>45809</v>
      </c>
      <c r="C1451" s="10" t="s">
        <v>721</v>
      </c>
    </row>
    <row r="1452" spans="1:3" ht="43.2" customHeight="1" x14ac:dyDescent="0.3">
      <c r="A1452" t="s">
        <v>186</v>
      </c>
      <c r="B1452" s="2">
        <v>45839</v>
      </c>
      <c r="C1452" s="10" t="s">
        <v>722</v>
      </c>
    </row>
    <row r="1453" spans="1:3" ht="43.2" customHeight="1" x14ac:dyDescent="0.3">
      <c r="A1453" t="s">
        <v>186</v>
      </c>
      <c r="B1453" s="2">
        <v>45870</v>
      </c>
      <c r="C1453" s="10" t="s">
        <v>723</v>
      </c>
    </row>
    <row r="1454" spans="1:3" ht="57.6" customHeight="1" x14ac:dyDescent="0.3">
      <c r="A1454" t="s">
        <v>186</v>
      </c>
      <c r="B1454" s="2">
        <v>45901</v>
      </c>
      <c r="C1454" s="10" t="s">
        <v>724</v>
      </c>
    </row>
    <row r="1455" spans="1:3" ht="57.6" customHeight="1" x14ac:dyDescent="0.3">
      <c r="A1455" t="s">
        <v>186</v>
      </c>
      <c r="B1455" s="2">
        <v>45931</v>
      </c>
      <c r="C1455" s="10" t="s">
        <v>725</v>
      </c>
    </row>
    <row r="1456" spans="1:3" ht="57.6" customHeight="1" x14ac:dyDescent="0.3">
      <c r="A1456" t="s">
        <v>186</v>
      </c>
      <c r="B1456" s="2">
        <v>45962</v>
      </c>
      <c r="C1456" s="10" t="s">
        <v>726</v>
      </c>
    </row>
    <row r="1457" spans="1:3" ht="43.2" x14ac:dyDescent="0.3">
      <c r="A1457" t="s">
        <v>186</v>
      </c>
      <c r="B1457" s="2">
        <v>45992</v>
      </c>
      <c r="C1457" s="10" t="s">
        <v>315</v>
      </c>
    </row>
    <row r="1458" spans="1:3" ht="43.2" x14ac:dyDescent="0.3">
      <c r="A1458" t="s">
        <v>186</v>
      </c>
      <c r="B1458" s="2">
        <v>46023</v>
      </c>
      <c r="C1458" s="10" t="s">
        <v>315</v>
      </c>
    </row>
    <row r="1459" spans="1:3" ht="43.2" x14ac:dyDescent="0.3">
      <c r="A1459" t="s">
        <v>186</v>
      </c>
      <c r="B1459" s="2">
        <v>46054</v>
      </c>
      <c r="C1459" s="10" t="s">
        <v>315</v>
      </c>
    </row>
    <row r="1460" spans="1:3" ht="43.2" x14ac:dyDescent="0.3">
      <c r="A1460" t="s">
        <v>186</v>
      </c>
      <c r="B1460" s="2">
        <v>46082</v>
      </c>
      <c r="C1460" s="10" t="s">
        <v>315</v>
      </c>
    </row>
    <row r="1461" spans="1:3" ht="43.2" x14ac:dyDescent="0.3">
      <c r="A1461" t="s">
        <v>186</v>
      </c>
      <c r="B1461" s="2">
        <v>46113</v>
      </c>
      <c r="C1461" s="10" t="s">
        <v>315</v>
      </c>
    </row>
    <row r="1462" spans="1:3" ht="28.8" x14ac:dyDescent="0.3">
      <c r="A1462" t="s">
        <v>186</v>
      </c>
      <c r="B1462" s="2">
        <v>46143</v>
      </c>
      <c r="C1462" s="10" t="s">
        <v>868</v>
      </c>
    </row>
    <row r="1463" spans="1:3" x14ac:dyDescent="0.3">
      <c r="A1463" t="s">
        <v>186</v>
      </c>
      <c r="B1463" s="2">
        <v>46174</v>
      </c>
      <c r="C1463" s="10"/>
    </row>
    <row r="1464" spans="1:3" x14ac:dyDescent="0.3">
      <c r="A1464" t="s">
        <v>186</v>
      </c>
      <c r="B1464" s="2">
        <v>46204</v>
      </c>
      <c r="C1464" s="10"/>
    </row>
    <row r="1465" spans="1:3" x14ac:dyDescent="0.3">
      <c r="A1465" t="s">
        <v>186</v>
      </c>
      <c r="B1465" s="2">
        <v>46235</v>
      </c>
      <c r="C1465" s="10"/>
    </row>
    <row r="1466" spans="1:3" x14ac:dyDescent="0.3">
      <c r="A1466" t="s">
        <v>188</v>
      </c>
      <c r="B1466" s="2">
        <v>45536</v>
      </c>
      <c r="C1466" s="10"/>
    </row>
    <row r="1467" spans="1:3" ht="28.8" x14ac:dyDescent="0.3">
      <c r="A1467" t="s">
        <v>188</v>
      </c>
      <c r="B1467" s="2">
        <v>45566</v>
      </c>
      <c r="C1467" s="10" t="s">
        <v>727</v>
      </c>
    </row>
    <row r="1468" spans="1:3" x14ac:dyDescent="0.3">
      <c r="A1468" t="s">
        <v>188</v>
      </c>
      <c r="B1468" s="2">
        <v>45597</v>
      </c>
      <c r="C1468" s="10"/>
    </row>
    <row r="1469" spans="1:3" x14ac:dyDescent="0.3">
      <c r="A1469" t="s">
        <v>188</v>
      </c>
      <c r="B1469" s="2">
        <v>45627</v>
      </c>
      <c r="C1469" s="10"/>
    </row>
    <row r="1470" spans="1:3" x14ac:dyDescent="0.3">
      <c r="A1470" t="s">
        <v>188</v>
      </c>
      <c r="B1470" s="2">
        <v>45658</v>
      </c>
      <c r="C1470" s="10"/>
    </row>
    <row r="1471" spans="1:3" ht="28.8" x14ac:dyDescent="0.3">
      <c r="A1471" t="s">
        <v>188</v>
      </c>
      <c r="B1471" s="2">
        <v>45689</v>
      </c>
      <c r="C1471" s="10" t="s">
        <v>727</v>
      </c>
    </row>
    <row r="1472" spans="1:3" ht="28.8" x14ac:dyDescent="0.3">
      <c r="A1472" t="s">
        <v>188</v>
      </c>
      <c r="B1472" s="2">
        <v>45717</v>
      </c>
      <c r="C1472" s="10" t="s">
        <v>728</v>
      </c>
    </row>
    <row r="1473" spans="1:3" ht="28.8" x14ac:dyDescent="0.3">
      <c r="A1473" t="s">
        <v>188</v>
      </c>
      <c r="B1473" s="2">
        <v>45748</v>
      </c>
      <c r="C1473" s="10" t="s">
        <v>728</v>
      </c>
    </row>
    <row r="1474" spans="1:3" ht="57.6" customHeight="1" x14ac:dyDescent="0.3">
      <c r="A1474" t="s">
        <v>188</v>
      </c>
      <c r="B1474" s="2">
        <v>45778</v>
      </c>
      <c r="C1474" s="10" t="s">
        <v>729</v>
      </c>
    </row>
    <row r="1475" spans="1:3" ht="57.6" customHeight="1" x14ac:dyDescent="0.3">
      <c r="A1475" t="s">
        <v>188</v>
      </c>
      <c r="B1475" s="2">
        <v>45809</v>
      </c>
      <c r="C1475" s="10" t="s">
        <v>730</v>
      </c>
    </row>
    <row r="1476" spans="1:3" ht="43.2" customHeight="1" x14ac:dyDescent="0.3">
      <c r="A1476" t="s">
        <v>188</v>
      </c>
      <c r="B1476" s="2">
        <v>45839</v>
      </c>
      <c r="C1476" s="10" t="s">
        <v>731</v>
      </c>
    </row>
    <row r="1477" spans="1:3" ht="43.2" customHeight="1" x14ac:dyDescent="0.3">
      <c r="A1477" t="s">
        <v>188</v>
      </c>
      <c r="B1477" s="2">
        <v>45870</v>
      </c>
      <c r="C1477" s="10" t="s">
        <v>732</v>
      </c>
    </row>
    <row r="1478" spans="1:3" ht="57.6" customHeight="1" x14ac:dyDescent="0.3">
      <c r="A1478" t="s">
        <v>188</v>
      </c>
      <c r="B1478" s="2">
        <v>45901</v>
      </c>
      <c r="C1478" s="10" t="s">
        <v>733</v>
      </c>
    </row>
    <row r="1479" spans="1:3" ht="57.6" customHeight="1" x14ac:dyDescent="0.3">
      <c r="A1479" t="s">
        <v>188</v>
      </c>
      <c r="B1479" s="2">
        <v>45931</v>
      </c>
      <c r="C1479" s="10" t="s">
        <v>734</v>
      </c>
    </row>
    <row r="1480" spans="1:3" ht="57.6" customHeight="1" x14ac:dyDescent="0.3">
      <c r="A1480" t="s">
        <v>188</v>
      </c>
      <c r="B1480" s="2">
        <v>45962</v>
      </c>
      <c r="C1480" s="10" t="s">
        <v>735</v>
      </c>
    </row>
    <row r="1481" spans="1:3" x14ac:dyDescent="0.3">
      <c r="A1481" t="s">
        <v>188</v>
      </c>
      <c r="B1481" s="2">
        <v>45992</v>
      </c>
      <c r="C1481" s="10" t="s">
        <v>599</v>
      </c>
    </row>
    <row r="1482" spans="1:3" x14ac:dyDescent="0.3">
      <c r="A1482" t="s">
        <v>188</v>
      </c>
      <c r="B1482" s="2">
        <v>46023</v>
      </c>
      <c r="C1482" s="10" t="s">
        <v>339</v>
      </c>
    </row>
    <row r="1483" spans="1:3" x14ac:dyDescent="0.3">
      <c r="A1483" t="s">
        <v>188</v>
      </c>
      <c r="B1483" s="2">
        <v>46054</v>
      </c>
      <c r="C1483" s="10" t="s">
        <v>327</v>
      </c>
    </row>
    <row r="1484" spans="1:3" x14ac:dyDescent="0.3">
      <c r="A1484" t="s">
        <v>188</v>
      </c>
      <c r="B1484" s="2">
        <v>46082</v>
      </c>
      <c r="C1484" s="10" t="s">
        <v>327</v>
      </c>
    </row>
    <row r="1485" spans="1:3" x14ac:dyDescent="0.3">
      <c r="A1485" t="s">
        <v>188</v>
      </c>
      <c r="B1485" s="2">
        <v>46113</v>
      </c>
      <c r="C1485" s="10" t="s">
        <v>303</v>
      </c>
    </row>
    <row r="1486" spans="1:3" x14ac:dyDescent="0.3">
      <c r="A1486" t="s">
        <v>188</v>
      </c>
      <c r="B1486" s="2">
        <v>46143</v>
      </c>
      <c r="C1486" s="10" t="s">
        <v>303</v>
      </c>
    </row>
    <row r="1487" spans="1:3" x14ac:dyDescent="0.3">
      <c r="A1487" t="s">
        <v>188</v>
      </c>
      <c r="B1487" s="2">
        <v>46174</v>
      </c>
      <c r="C1487" s="10"/>
    </row>
    <row r="1488" spans="1:3" x14ac:dyDescent="0.3">
      <c r="A1488" t="s">
        <v>188</v>
      </c>
      <c r="B1488" s="2">
        <v>46204</v>
      </c>
      <c r="C1488" s="10"/>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3" x14ac:dyDescent="0.3">
      <c r="A1505" t="s">
        <v>226</v>
      </c>
      <c r="B1505" s="2">
        <v>45992</v>
      </c>
      <c r="C1505" s="10" t="s">
        <v>494</v>
      </c>
    </row>
    <row r="1506" spans="1:3" x14ac:dyDescent="0.3">
      <c r="A1506" t="s">
        <v>226</v>
      </c>
      <c r="B1506" s="2">
        <v>46023</v>
      </c>
      <c r="C1506" s="10" t="s">
        <v>339</v>
      </c>
    </row>
    <row r="1507" spans="1:3" x14ac:dyDescent="0.3">
      <c r="A1507" t="s">
        <v>226</v>
      </c>
      <c r="B1507" s="2">
        <v>46054</v>
      </c>
      <c r="C1507" s="10" t="s">
        <v>327</v>
      </c>
    </row>
    <row r="1508" spans="1:3" x14ac:dyDescent="0.3">
      <c r="A1508" t="s">
        <v>226</v>
      </c>
      <c r="B1508" s="2">
        <v>46082</v>
      </c>
      <c r="C1508" s="10" t="s">
        <v>327</v>
      </c>
    </row>
    <row r="1509" spans="1:3" x14ac:dyDescent="0.3">
      <c r="A1509" t="s">
        <v>226</v>
      </c>
      <c r="B1509" s="2">
        <v>46113</v>
      </c>
      <c r="C1509" s="10" t="s">
        <v>303</v>
      </c>
    </row>
    <row r="1510" spans="1:3" x14ac:dyDescent="0.3">
      <c r="A1510" t="s">
        <v>226</v>
      </c>
      <c r="B1510" s="2">
        <v>46143</v>
      </c>
      <c r="C1510" s="10" t="s">
        <v>303</v>
      </c>
    </row>
    <row r="1511" spans="1:3" x14ac:dyDescent="0.3">
      <c r="A1511" t="s">
        <v>226</v>
      </c>
      <c r="B1511" s="2">
        <v>46174</v>
      </c>
      <c r="C1511" s="10"/>
    </row>
    <row r="1512" spans="1:3" x14ac:dyDescent="0.3">
      <c r="A1512" t="s">
        <v>226</v>
      </c>
      <c r="B1512" s="2">
        <v>46204</v>
      </c>
      <c r="C1512" s="10"/>
    </row>
    <row r="1513" spans="1:3" x14ac:dyDescent="0.3">
      <c r="A1513" t="s">
        <v>226</v>
      </c>
      <c r="B1513" s="2">
        <v>46235</v>
      </c>
      <c r="C1513" s="10"/>
    </row>
    <row r="1514" spans="1:3" x14ac:dyDescent="0.3">
      <c r="A1514" t="s">
        <v>208</v>
      </c>
      <c r="B1514" s="2">
        <v>45536</v>
      </c>
      <c r="C1514" s="10"/>
    </row>
    <row r="1515" spans="1:3" x14ac:dyDescent="0.3">
      <c r="A1515" t="s">
        <v>208</v>
      </c>
      <c r="B1515" s="2">
        <v>45566</v>
      </c>
      <c r="C1515" s="10"/>
    </row>
    <row r="1516" spans="1:3" x14ac:dyDescent="0.3">
      <c r="A1516" t="s">
        <v>208</v>
      </c>
      <c r="B1516" s="2">
        <v>45597</v>
      </c>
      <c r="C1516" s="10"/>
    </row>
    <row r="1517" spans="1:3" x14ac:dyDescent="0.3">
      <c r="A1517" t="s">
        <v>208</v>
      </c>
      <c r="B1517" s="2">
        <v>45627</v>
      </c>
      <c r="C1517" s="10"/>
    </row>
    <row r="1518" spans="1:3" x14ac:dyDescent="0.3">
      <c r="A1518" t="s">
        <v>208</v>
      </c>
      <c r="B1518" s="2">
        <v>45658</v>
      </c>
      <c r="C1518" s="10"/>
    </row>
    <row r="1519" spans="1:3" x14ac:dyDescent="0.3">
      <c r="A1519" t="s">
        <v>208</v>
      </c>
      <c r="B1519" s="2">
        <v>45689</v>
      </c>
      <c r="C1519" s="10"/>
    </row>
    <row r="1520" spans="1:3" x14ac:dyDescent="0.3">
      <c r="A1520" t="s">
        <v>208</v>
      </c>
      <c r="B1520" s="2">
        <v>45717</v>
      </c>
      <c r="C1520" s="10"/>
    </row>
    <row r="1521" spans="1:3" x14ac:dyDescent="0.3">
      <c r="A1521" t="s">
        <v>208</v>
      </c>
      <c r="B1521" s="2">
        <v>45748</v>
      </c>
      <c r="C1521" s="10"/>
    </row>
    <row r="1522" spans="1:3" x14ac:dyDescent="0.3">
      <c r="A1522" t="s">
        <v>208</v>
      </c>
      <c r="B1522" s="2">
        <v>45778</v>
      </c>
      <c r="C1522" s="10"/>
    </row>
    <row r="1523" spans="1:3" x14ac:dyDescent="0.3">
      <c r="A1523" t="s">
        <v>208</v>
      </c>
      <c r="B1523" s="2">
        <v>45809</v>
      </c>
      <c r="C1523" s="10"/>
    </row>
    <row r="1524" spans="1:3" ht="57.6" customHeight="1" x14ac:dyDescent="0.3">
      <c r="A1524" t="s">
        <v>208</v>
      </c>
      <c r="B1524" s="2">
        <v>45839</v>
      </c>
      <c r="C1524" s="10" t="s">
        <v>736</v>
      </c>
    </row>
    <row r="1525" spans="1:3" ht="43.2" customHeight="1" x14ac:dyDescent="0.3">
      <c r="A1525" t="s">
        <v>208</v>
      </c>
      <c r="B1525" s="2">
        <v>45870</v>
      </c>
      <c r="C1525" s="10" t="s">
        <v>737</v>
      </c>
    </row>
    <row r="1526" spans="1:3" ht="43.2" customHeight="1" x14ac:dyDescent="0.3">
      <c r="A1526" t="s">
        <v>208</v>
      </c>
      <c r="B1526" s="2">
        <v>45901</v>
      </c>
      <c r="C1526" s="10" t="s">
        <v>738</v>
      </c>
    </row>
    <row r="1527" spans="1:3" ht="43.2" customHeight="1" x14ac:dyDescent="0.3">
      <c r="A1527" t="s">
        <v>208</v>
      </c>
      <c r="B1527" s="2">
        <v>45931</v>
      </c>
      <c r="C1527" s="10" t="s">
        <v>739</v>
      </c>
    </row>
    <row r="1528" spans="1:3" ht="43.2" customHeight="1" x14ac:dyDescent="0.3">
      <c r="A1528" t="s">
        <v>208</v>
      </c>
      <c r="B1528" s="2">
        <v>45962</v>
      </c>
      <c r="C1528" s="10" t="s">
        <v>740</v>
      </c>
    </row>
    <row r="1529" spans="1:3" ht="28.8" x14ac:dyDescent="0.3">
      <c r="A1529" t="s">
        <v>208</v>
      </c>
      <c r="B1529" s="2">
        <v>45992</v>
      </c>
      <c r="C1529" s="10" t="s">
        <v>741</v>
      </c>
    </row>
    <row r="1530" spans="1:3" x14ac:dyDescent="0.3">
      <c r="A1530" t="s">
        <v>208</v>
      </c>
      <c r="B1530" s="2">
        <v>46023</v>
      </c>
      <c r="C1530" s="10" t="s">
        <v>339</v>
      </c>
    </row>
    <row r="1531" spans="1:3" x14ac:dyDescent="0.3">
      <c r="A1531" t="s">
        <v>208</v>
      </c>
      <c r="B1531" s="2">
        <v>46054</v>
      </c>
      <c r="C1531" s="10" t="s">
        <v>327</v>
      </c>
    </row>
    <row r="1532" spans="1:3" x14ac:dyDescent="0.3">
      <c r="A1532" t="s">
        <v>208</v>
      </c>
      <c r="B1532" s="2">
        <v>46082</v>
      </c>
      <c r="C1532" s="10" t="s">
        <v>327</v>
      </c>
    </row>
    <row r="1533" spans="1:3" x14ac:dyDescent="0.3">
      <c r="A1533" t="s">
        <v>208</v>
      </c>
      <c r="B1533" s="2">
        <v>46113</v>
      </c>
      <c r="C1533" s="10" t="s">
        <v>303</v>
      </c>
    </row>
    <row r="1534" spans="1:3" x14ac:dyDescent="0.3">
      <c r="A1534" t="s">
        <v>208</v>
      </c>
      <c r="B1534" s="2">
        <v>46143</v>
      </c>
      <c r="C1534" s="10" t="s">
        <v>303</v>
      </c>
    </row>
    <row r="1535" spans="1:3" x14ac:dyDescent="0.3">
      <c r="A1535" t="s">
        <v>208</v>
      </c>
      <c r="B1535" s="2">
        <v>46174</v>
      </c>
      <c r="C1535" s="10"/>
    </row>
    <row r="1536" spans="1:3" x14ac:dyDescent="0.3">
      <c r="A1536" t="s">
        <v>208</v>
      </c>
      <c r="B1536" s="2">
        <v>46204</v>
      </c>
      <c r="C1536" s="10"/>
    </row>
    <row r="1537" spans="1:3" x14ac:dyDescent="0.3">
      <c r="A1537" t="s">
        <v>208</v>
      </c>
      <c r="B1537" s="2">
        <v>46235</v>
      </c>
      <c r="C1537" s="10"/>
    </row>
    <row r="1538" spans="1:3" x14ac:dyDescent="0.3">
      <c r="A1538" t="s">
        <v>190</v>
      </c>
      <c r="B1538" s="2">
        <v>45536</v>
      </c>
      <c r="C1538" s="10" t="s">
        <v>742</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743</v>
      </c>
    </row>
    <row r="1544" spans="1:3" ht="28.8" x14ac:dyDescent="0.3">
      <c r="A1544" t="s">
        <v>190</v>
      </c>
      <c r="B1544" s="2">
        <v>45717</v>
      </c>
      <c r="C1544" s="10" t="s">
        <v>744</v>
      </c>
    </row>
    <row r="1545" spans="1:3" ht="28.8" x14ac:dyDescent="0.3">
      <c r="A1545" t="s">
        <v>190</v>
      </c>
      <c r="B1545" s="2">
        <v>45748</v>
      </c>
      <c r="C1545" s="10" t="s">
        <v>744</v>
      </c>
    </row>
    <row r="1546" spans="1:3" ht="72" customHeight="1" x14ac:dyDescent="0.3">
      <c r="A1546" t="s">
        <v>190</v>
      </c>
      <c r="B1546" s="2">
        <v>45778</v>
      </c>
      <c r="C1546" s="10" t="s">
        <v>745</v>
      </c>
    </row>
    <row r="1547" spans="1:3" ht="72" customHeight="1" x14ac:dyDescent="0.3">
      <c r="A1547" t="s">
        <v>190</v>
      </c>
      <c r="B1547" s="2">
        <v>45809</v>
      </c>
      <c r="C1547" s="10" t="s">
        <v>746</v>
      </c>
    </row>
    <row r="1548" spans="1:3" ht="72" customHeight="1" x14ac:dyDescent="0.3">
      <c r="A1548" t="s">
        <v>190</v>
      </c>
      <c r="B1548" s="2">
        <v>45839</v>
      </c>
      <c r="C1548" s="10" t="s">
        <v>747</v>
      </c>
    </row>
    <row r="1549" spans="1:3" ht="72" customHeight="1" x14ac:dyDescent="0.3">
      <c r="A1549" t="s">
        <v>190</v>
      </c>
      <c r="B1549" s="2">
        <v>45870</v>
      </c>
      <c r="C1549" s="10" t="s">
        <v>748</v>
      </c>
    </row>
    <row r="1550" spans="1:3" ht="72" customHeight="1" x14ac:dyDescent="0.3">
      <c r="A1550" t="s">
        <v>190</v>
      </c>
      <c r="B1550" s="2">
        <v>45901</v>
      </c>
      <c r="C1550" s="10" t="s">
        <v>749</v>
      </c>
    </row>
    <row r="1551" spans="1:3" ht="57.6" customHeight="1" x14ac:dyDescent="0.3">
      <c r="A1551" t="s">
        <v>190</v>
      </c>
      <c r="B1551" s="2">
        <v>45931</v>
      </c>
      <c r="C1551" s="10" t="s">
        <v>750</v>
      </c>
    </row>
    <row r="1552" spans="1:3" ht="72" customHeight="1" x14ac:dyDescent="0.3">
      <c r="A1552" t="s">
        <v>190</v>
      </c>
      <c r="B1552" s="2">
        <v>45962</v>
      </c>
      <c r="C1552" s="10" t="s">
        <v>751</v>
      </c>
    </row>
    <row r="1553" spans="1:3" ht="43.2" x14ac:dyDescent="0.3">
      <c r="A1553" t="s">
        <v>190</v>
      </c>
      <c r="B1553" s="2">
        <v>45992</v>
      </c>
      <c r="C1553" s="10" t="s">
        <v>752</v>
      </c>
    </row>
    <row r="1554" spans="1:3" ht="43.2" x14ac:dyDescent="0.3">
      <c r="A1554" t="s">
        <v>190</v>
      </c>
      <c r="B1554" s="2">
        <v>46023</v>
      </c>
      <c r="C1554" s="10" t="s">
        <v>752</v>
      </c>
    </row>
    <row r="1555" spans="1:3" ht="43.2" x14ac:dyDescent="0.3">
      <c r="A1555" t="s">
        <v>190</v>
      </c>
      <c r="B1555" s="2">
        <v>46054</v>
      </c>
      <c r="C1555" s="10" t="s">
        <v>752</v>
      </c>
    </row>
    <row r="1556" spans="1:3" ht="28.8" x14ac:dyDescent="0.3">
      <c r="A1556" t="s">
        <v>190</v>
      </c>
      <c r="B1556" s="2">
        <v>46082</v>
      </c>
      <c r="C1556" s="10" t="s">
        <v>753</v>
      </c>
    </row>
    <row r="1557" spans="1:3" ht="28.8" x14ac:dyDescent="0.3">
      <c r="A1557" t="s">
        <v>190</v>
      </c>
      <c r="B1557" s="2">
        <v>46113</v>
      </c>
      <c r="C1557" s="10" t="s">
        <v>753</v>
      </c>
    </row>
    <row r="1558" spans="1:3" ht="28.8" x14ac:dyDescent="0.3">
      <c r="A1558" t="s">
        <v>190</v>
      </c>
      <c r="B1558" s="2">
        <v>46143</v>
      </c>
      <c r="C1558" s="10" t="s">
        <v>868</v>
      </c>
    </row>
    <row r="1559" spans="1:3" x14ac:dyDescent="0.3">
      <c r="A1559" t="s">
        <v>190</v>
      </c>
      <c r="B1559" s="2">
        <v>46174</v>
      </c>
      <c r="C1559" s="10"/>
    </row>
    <row r="1560" spans="1:3" x14ac:dyDescent="0.3">
      <c r="A1560" t="s">
        <v>190</v>
      </c>
      <c r="B1560" s="2">
        <v>46204</v>
      </c>
      <c r="C1560" s="10"/>
    </row>
    <row r="1561" spans="1:3" x14ac:dyDescent="0.3">
      <c r="A1561" t="s">
        <v>190</v>
      </c>
      <c r="B1561" s="2">
        <v>46235</v>
      </c>
      <c r="C1561" s="10"/>
    </row>
    <row r="1562" spans="1:3" x14ac:dyDescent="0.3">
      <c r="A1562" t="s">
        <v>199</v>
      </c>
      <c r="B1562" s="2">
        <v>45536</v>
      </c>
      <c r="C1562" s="10"/>
    </row>
    <row r="1563" spans="1:3" x14ac:dyDescent="0.3">
      <c r="A1563" t="s">
        <v>199</v>
      </c>
      <c r="B1563" s="2">
        <v>45566</v>
      </c>
      <c r="C1563" s="10"/>
    </row>
    <row r="1564" spans="1:3" x14ac:dyDescent="0.3">
      <c r="A1564" t="s">
        <v>199</v>
      </c>
      <c r="B1564" s="2">
        <v>45597</v>
      </c>
      <c r="C1564" s="10"/>
    </row>
    <row r="1565" spans="1:3" x14ac:dyDescent="0.3">
      <c r="A1565" t="s">
        <v>199</v>
      </c>
      <c r="B1565" s="2">
        <v>45627</v>
      </c>
      <c r="C1565" s="10"/>
    </row>
    <row r="1566" spans="1:3" x14ac:dyDescent="0.3">
      <c r="A1566" t="s">
        <v>199</v>
      </c>
      <c r="B1566" s="2">
        <v>45658</v>
      </c>
      <c r="C1566" s="10"/>
    </row>
    <row r="1567" spans="1:3" ht="28.95" customHeight="1" x14ac:dyDescent="0.3">
      <c r="A1567" t="s">
        <v>199</v>
      </c>
      <c r="B1567" s="2">
        <v>45689</v>
      </c>
      <c r="C1567" s="10" t="s">
        <v>754</v>
      </c>
    </row>
    <row r="1568" spans="1:3" x14ac:dyDescent="0.3">
      <c r="A1568" t="s">
        <v>199</v>
      </c>
      <c r="B1568" s="2">
        <v>45717</v>
      </c>
      <c r="C1568" s="10" t="s">
        <v>707</v>
      </c>
    </row>
    <row r="1569" spans="1:3" ht="28.8" x14ac:dyDescent="0.3">
      <c r="A1569" t="s">
        <v>199</v>
      </c>
      <c r="B1569" s="2">
        <v>45748</v>
      </c>
      <c r="C1569" s="10" t="s">
        <v>755</v>
      </c>
    </row>
    <row r="1570" spans="1:3" ht="57.6" customHeight="1" x14ac:dyDescent="0.3">
      <c r="A1570" t="s">
        <v>199</v>
      </c>
      <c r="B1570" s="2">
        <v>45778</v>
      </c>
      <c r="C1570" s="10" t="s">
        <v>756</v>
      </c>
    </row>
    <row r="1571" spans="1:3" ht="57.6" customHeight="1" x14ac:dyDescent="0.3">
      <c r="A1571" t="s">
        <v>199</v>
      </c>
      <c r="B1571" s="2">
        <v>45809</v>
      </c>
      <c r="C1571" s="10" t="s">
        <v>757</v>
      </c>
    </row>
    <row r="1572" spans="1:3" ht="57.6" customHeight="1" x14ac:dyDescent="0.3">
      <c r="A1572" t="s">
        <v>199</v>
      </c>
      <c r="B1572" s="2">
        <v>45839</v>
      </c>
      <c r="C1572" s="10" t="s">
        <v>758</v>
      </c>
    </row>
    <row r="1573" spans="1:3" ht="57.6" customHeight="1" x14ac:dyDescent="0.3">
      <c r="A1573" t="s">
        <v>199</v>
      </c>
      <c r="B1573" s="2">
        <v>45870</v>
      </c>
      <c r="C1573" s="10" t="s">
        <v>759</v>
      </c>
    </row>
    <row r="1574" spans="1:3" ht="57.6" customHeight="1" x14ac:dyDescent="0.3">
      <c r="A1574" t="s">
        <v>199</v>
      </c>
      <c r="B1574" s="2">
        <v>45901</v>
      </c>
      <c r="C1574" s="10" t="s">
        <v>760</v>
      </c>
    </row>
    <row r="1575" spans="1:3" ht="57.6" customHeight="1" x14ac:dyDescent="0.3">
      <c r="A1575" t="s">
        <v>199</v>
      </c>
      <c r="B1575" s="2">
        <v>45931</v>
      </c>
      <c r="C1575" s="10" t="s">
        <v>761</v>
      </c>
    </row>
    <row r="1576" spans="1:3" ht="57.6" customHeight="1" x14ac:dyDescent="0.3">
      <c r="A1576" t="s">
        <v>199</v>
      </c>
      <c r="B1576" s="2">
        <v>45962</v>
      </c>
      <c r="C1576" s="10" t="s">
        <v>762</v>
      </c>
    </row>
    <row r="1577" spans="1:3" x14ac:dyDescent="0.3">
      <c r="A1577" t="s">
        <v>199</v>
      </c>
      <c r="B1577" s="2">
        <v>45992</v>
      </c>
      <c r="C1577" s="10" t="s">
        <v>599</v>
      </c>
    </row>
    <row r="1578" spans="1:3" x14ac:dyDescent="0.3">
      <c r="A1578" t="s">
        <v>199</v>
      </c>
      <c r="B1578" s="2">
        <v>46023</v>
      </c>
      <c r="C1578" s="10" t="s">
        <v>339</v>
      </c>
    </row>
    <row r="1579" spans="1:3" x14ac:dyDescent="0.3">
      <c r="A1579" t="s">
        <v>199</v>
      </c>
      <c r="B1579" s="2">
        <v>46054</v>
      </c>
      <c r="C1579" s="10" t="s">
        <v>327</v>
      </c>
    </row>
    <row r="1580" spans="1:3" ht="28.8" x14ac:dyDescent="0.3">
      <c r="A1580" t="s">
        <v>199</v>
      </c>
      <c r="B1580" s="2">
        <v>46082</v>
      </c>
      <c r="C1580" s="10" t="s">
        <v>763</v>
      </c>
    </row>
    <row r="1581" spans="1:3" ht="28.8" x14ac:dyDescent="0.3">
      <c r="A1581" t="s">
        <v>199</v>
      </c>
      <c r="B1581" s="2">
        <v>46113</v>
      </c>
      <c r="C1581" s="10" t="s">
        <v>753</v>
      </c>
    </row>
    <row r="1582" spans="1:3" ht="28.8" x14ac:dyDescent="0.3">
      <c r="A1582" t="s">
        <v>199</v>
      </c>
      <c r="B1582" s="2">
        <v>46143</v>
      </c>
      <c r="C1582" s="10" t="s">
        <v>868</v>
      </c>
    </row>
    <row r="1583" spans="1:3" x14ac:dyDescent="0.3">
      <c r="A1583" t="s">
        <v>199</v>
      </c>
      <c r="B1583" s="2">
        <v>46174</v>
      </c>
      <c r="C1583" s="10"/>
    </row>
    <row r="1584" spans="1:3" x14ac:dyDescent="0.3">
      <c r="A1584" t="s">
        <v>199</v>
      </c>
      <c r="B1584" s="2">
        <v>46204</v>
      </c>
      <c r="C1584" s="10"/>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3" x14ac:dyDescent="0.3">
      <c r="A1601" t="s">
        <v>192</v>
      </c>
      <c r="B1601" s="2">
        <v>45992</v>
      </c>
      <c r="C1601" s="10"/>
    </row>
    <row r="1602" spans="1:3" x14ac:dyDescent="0.3">
      <c r="A1602" t="s">
        <v>192</v>
      </c>
      <c r="B1602" s="2">
        <v>46023</v>
      </c>
      <c r="C1602" s="10"/>
    </row>
    <row r="1603" spans="1:3" x14ac:dyDescent="0.3">
      <c r="A1603" t="s">
        <v>192</v>
      </c>
      <c r="B1603" s="2">
        <v>46054</v>
      </c>
      <c r="C1603" s="10"/>
    </row>
    <row r="1604" spans="1:3" x14ac:dyDescent="0.3">
      <c r="A1604" t="s">
        <v>192</v>
      </c>
      <c r="B1604" s="2">
        <v>46082</v>
      </c>
      <c r="C1604" s="10"/>
    </row>
    <row r="1605" spans="1:3" x14ac:dyDescent="0.3">
      <c r="A1605" t="s">
        <v>192</v>
      </c>
      <c r="B1605" s="2">
        <v>46113</v>
      </c>
      <c r="C1605" s="10"/>
    </row>
    <row r="1606" spans="1:3" x14ac:dyDescent="0.3">
      <c r="A1606" t="s">
        <v>192</v>
      </c>
      <c r="B1606" s="2">
        <v>46143</v>
      </c>
      <c r="C1606" s="10" t="s">
        <v>863</v>
      </c>
    </row>
    <row r="1607" spans="1:3" x14ac:dyDescent="0.3">
      <c r="A1607" t="s">
        <v>192</v>
      </c>
      <c r="B1607" s="2">
        <v>46174</v>
      </c>
      <c r="C1607" s="10"/>
    </row>
    <row r="1608" spans="1:3" x14ac:dyDescent="0.3">
      <c r="A1608" t="s">
        <v>192</v>
      </c>
      <c r="B1608" s="2">
        <v>46204</v>
      </c>
      <c r="C1608" s="10"/>
    </row>
    <row r="1609" spans="1:3" x14ac:dyDescent="0.3">
      <c r="A1609" t="s">
        <v>192</v>
      </c>
      <c r="B1609" s="2">
        <v>46235</v>
      </c>
      <c r="C1609" s="10"/>
    </row>
    <row r="1610" spans="1:3" x14ac:dyDescent="0.3">
      <c r="A1610" t="s">
        <v>194</v>
      </c>
      <c r="B1610" s="2">
        <v>45536</v>
      </c>
      <c r="C1610" s="10"/>
    </row>
    <row r="1611" spans="1:3" x14ac:dyDescent="0.3">
      <c r="A1611" t="s">
        <v>194</v>
      </c>
      <c r="B1611" s="2">
        <v>45566</v>
      </c>
      <c r="C1611" s="10"/>
    </row>
    <row r="1612" spans="1:3" x14ac:dyDescent="0.3">
      <c r="A1612" t="s">
        <v>194</v>
      </c>
      <c r="B1612" s="2">
        <v>45597</v>
      </c>
      <c r="C1612" s="10"/>
    </row>
    <row r="1613" spans="1:3" x14ac:dyDescent="0.3">
      <c r="A1613" t="s">
        <v>194</v>
      </c>
      <c r="B1613" s="2">
        <v>45627</v>
      </c>
      <c r="C1613" s="10"/>
    </row>
    <row r="1614" spans="1:3" x14ac:dyDescent="0.3">
      <c r="A1614" t="s">
        <v>194</v>
      </c>
      <c r="B1614" s="2">
        <v>45658</v>
      </c>
      <c r="C1614" s="10"/>
    </row>
    <row r="1615" spans="1:3" ht="28.8" x14ac:dyDescent="0.3">
      <c r="A1615" t="s">
        <v>194</v>
      </c>
      <c r="B1615" s="2">
        <v>45689</v>
      </c>
      <c r="C1615" s="10" t="s">
        <v>764</v>
      </c>
    </row>
    <row r="1616" spans="1:3" ht="57.6" customHeight="1" x14ac:dyDescent="0.3">
      <c r="A1616" t="s">
        <v>194</v>
      </c>
      <c r="B1616" s="2">
        <v>45717</v>
      </c>
      <c r="C1616" s="10" t="s">
        <v>765</v>
      </c>
    </row>
    <row r="1617" spans="1:8" ht="57.6" customHeight="1" x14ac:dyDescent="0.3">
      <c r="A1617" t="s">
        <v>194</v>
      </c>
      <c r="B1617" s="2">
        <v>45748</v>
      </c>
      <c r="C1617" s="10" t="s">
        <v>766</v>
      </c>
    </row>
    <row r="1618" spans="1:8" ht="72" customHeight="1" x14ac:dyDescent="0.3">
      <c r="A1618" t="s">
        <v>194</v>
      </c>
      <c r="B1618" s="2">
        <v>45778</v>
      </c>
      <c r="C1618" s="10" t="s">
        <v>767</v>
      </c>
    </row>
    <row r="1619" spans="1:8" ht="72" customHeight="1" x14ac:dyDescent="0.3">
      <c r="A1619" t="s">
        <v>194</v>
      </c>
      <c r="B1619" s="2">
        <v>45809</v>
      </c>
      <c r="C1619" s="10" t="s">
        <v>768</v>
      </c>
    </row>
    <row r="1620" spans="1:8" ht="28.8" x14ac:dyDescent="0.3">
      <c r="A1620" t="s">
        <v>194</v>
      </c>
      <c r="B1620" s="2">
        <v>45839</v>
      </c>
      <c r="C1620" t="s">
        <v>912</v>
      </c>
      <c r="D1620">
        <v>0</v>
      </c>
      <c r="E1620" t="s">
        <v>33</v>
      </c>
      <c r="F1620" t="s">
        <v>33</v>
      </c>
      <c r="G1620" s="21" t="s">
        <v>933</v>
      </c>
      <c r="H1620" t="s">
        <v>36</v>
      </c>
    </row>
    <row r="1621" spans="1:8" ht="28.8" x14ac:dyDescent="0.3">
      <c r="A1621" t="s">
        <v>194</v>
      </c>
      <c r="B1621" s="2">
        <v>45870</v>
      </c>
      <c r="C1621" t="s">
        <v>912</v>
      </c>
      <c r="D1621">
        <v>0</v>
      </c>
      <c r="E1621" t="s">
        <v>33</v>
      </c>
      <c r="F1621" t="s">
        <v>33</v>
      </c>
      <c r="G1621" s="21" t="s">
        <v>933</v>
      </c>
      <c r="H1621" t="s">
        <v>36</v>
      </c>
    </row>
    <row r="1622" spans="1:8" ht="28.8" x14ac:dyDescent="0.3">
      <c r="A1622" t="s">
        <v>194</v>
      </c>
      <c r="B1622" s="2">
        <v>45901</v>
      </c>
      <c r="C1622" t="s">
        <v>920</v>
      </c>
      <c r="D1622">
        <v>0</v>
      </c>
      <c r="E1622" t="s">
        <v>33</v>
      </c>
      <c r="F1622" t="s">
        <v>33</v>
      </c>
      <c r="G1622" s="21" t="s">
        <v>933</v>
      </c>
      <c r="H1622" t="s">
        <v>36</v>
      </c>
    </row>
    <row r="1623" spans="1:8" ht="28.8" x14ac:dyDescent="0.3">
      <c r="A1623" t="s">
        <v>194</v>
      </c>
      <c r="B1623" s="2">
        <v>45931</v>
      </c>
      <c r="C1623" t="s">
        <v>912</v>
      </c>
      <c r="D1623">
        <v>0</v>
      </c>
      <c r="E1623" t="s">
        <v>33</v>
      </c>
      <c r="F1623" t="s">
        <v>33</v>
      </c>
      <c r="G1623" s="21" t="s">
        <v>933</v>
      </c>
      <c r="H1623" t="s">
        <v>36</v>
      </c>
    </row>
    <row r="1624" spans="1:8" ht="28.8" x14ac:dyDescent="0.3">
      <c r="A1624" t="s">
        <v>194</v>
      </c>
      <c r="B1624" s="2">
        <v>45962</v>
      </c>
      <c r="C1624" t="s">
        <v>920</v>
      </c>
      <c r="D1624">
        <v>0</v>
      </c>
      <c r="E1624" t="s">
        <v>33</v>
      </c>
      <c r="F1624" t="s">
        <v>33</v>
      </c>
      <c r="G1624" s="21" t="s">
        <v>933</v>
      </c>
      <c r="H1624" t="s">
        <v>36</v>
      </c>
    </row>
    <row r="1625" spans="1:8" x14ac:dyDescent="0.3">
      <c r="A1625" t="s">
        <v>194</v>
      </c>
      <c r="B1625" s="2">
        <v>45992</v>
      </c>
      <c r="C1625" t="s">
        <v>912</v>
      </c>
      <c r="D1625">
        <v>0</v>
      </c>
      <c r="E1625" t="s">
        <v>33</v>
      </c>
      <c r="F1625" t="s">
        <v>33</v>
      </c>
      <c r="G1625" s="10" t="s">
        <v>339</v>
      </c>
      <c r="H1625" t="s">
        <v>36</v>
      </c>
    </row>
    <row r="1626" spans="1:8" x14ac:dyDescent="0.3">
      <c r="A1626" t="s">
        <v>194</v>
      </c>
      <c r="B1626" s="2">
        <v>46023</v>
      </c>
      <c r="C1626" t="s">
        <v>912</v>
      </c>
      <c r="D1626">
        <v>0</v>
      </c>
      <c r="E1626" t="s">
        <v>33</v>
      </c>
      <c r="F1626" t="s">
        <v>33</v>
      </c>
      <c r="G1626" s="10" t="s">
        <v>339</v>
      </c>
      <c r="H1626" t="s">
        <v>36</v>
      </c>
    </row>
    <row r="1627" spans="1:8" x14ac:dyDescent="0.3">
      <c r="A1627" t="s">
        <v>194</v>
      </c>
      <c r="B1627" s="2">
        <v>46054</v>
      </c>
      <c r="C1627" t="s">
        <v>896</v>
      </c>
      <c r="D1627">
        <v>0</v>
      </c>
      <c r="E1627" t="s">
        <v>33</v>
      </c>
      <c r="F1627" t="s">
        <v>33</v>
      </c>
      <c r="G1627" s="10" t="s">
        <v>339</v>
      </c>
      <c r="H1627" t="s">
        <v>36</v>
      </c>
    </row>
    <row r="1628" spans="1:8" ht="28.8" x14ac:dyDescent="0.3">
      <c r="A1628" t="s">
        <v>194</v>
      </c>
      <c r="B1628" s="2">
        <v>46082</v>
      </c>
      <c r="C1628" t="s">
        <v>912</v>
      </c>
      <c r="D1628">
        <v>0</v>
      </c>
      <c r="E1628" t="s">
        <v>33</v>
      </c>
      <c r="F1628" t="s">
        <v>33</v>
      </c>
      <c r="G1628" s="21" t="s">
        <v>933</v>
      </c>
      <c r="H1628" t="s">
        <v>36</v>
      </c>
    </row>
    <row r="1629" spans="1:8" ht="28.8" x14ac:dyDescent="0.3">
      <c r="A1629" t="s">
        <v>194</v>
      </c>
      <c r="B1629" s="2">
        <v>46113</v>
      </c>
      <c r="C1629" t="s">
        <v>920</v>
      </c>
      <c r="D1629">
        <v>0</v>
      </c>
      <c r="E1629" t="s">
        <v>33</v>
      </c>
      <c r="F1629" t="s">
        <v>33</v>
      </c>
      <c r="G1629" s="21" t="s">
        <v>933</v>
      </c>
      <c r="H1629" t="s">
        <v>36</v>
      </c>
    </row>
    <row r="1630" spans="1:8" ht="28.8" x14ac:dyDescent="0.3">
      <c r="A1630" t="s">
        <v>194</v>
      </c>
      <c r="B1630" s="2">
        <v>46143</v>
      </c>
      <c r="C1630" t="s">
        <v>912</v>
      </c>
      <c r="D1630">
        <v>0</v>
      </c>
      <c r="E1630" t="s">
        <v>33</v>
      </c>
      <c r="F1630" t="s">
        <v>33</v>
      </c>
      <c r="G1630" s="21" t="s">
        <v>933</v>
      </c>
      <c r="H1630" t="s">
        <v>36</v>
      </c>
    </row>
    <row r="1631" spans="1:8" x14ac:dyDescent="0.3">
      <c r="A1631" t="s">
        <v>218</v>
      </c>
      <c r="B1631" s="2">
        <v>46174</v>
      </c>
      <c r="C1631" t="s">
        <v>920</v>
      </c>
      <c r="D1631">
        <v>0</v>
      </c>
      <c r="E1631" t="s">
        <v>33</v>
      </c>
      <c r="F1631" t="s">
        <v>33</v>
      </c>
      <c r="G1631" s="10" t="s">
        <v>339</v>
      </c>
      <c r="H1631" t="s">
        <v>36</v>
      </c>
    </row>
    <row r="1632" spans="1:8" x14ac:dyDescent="0.3">
      <c r="A1632" t="s">
        <v>194</v>
      </c>
      <c r="B1632" s="2">
        <v>46204</v>
      </c>
      <c r="C1632" s="10"/>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769</v>
      </c>
    </row>
    <row r="1640" spans="1:3" ht="57.6" customHeight="1" x14ac:dyDescent="0.3">
      <c r="A1640" t="s">
        <v>196</v>
      </c>
      <c r="B1640" s="2">
        <v>45717</v>
      </c>
      <c r="C1640" s="10" t="s">
        <v>770</v>
      </c>
    </row>
    <row r="1641" spans="1:3" ht="43.2" customHeight="1" x14ac:dyDescent="0.3">
      <c r="A1641" t="s">
        <v>196</v>
      </c>
      <c r="B1641" s="2">
        <v>45748</v>
      </c>
      <c r="C1641" s="10" t="s">
        <v>771</v>
      </c>
    </row>
    <row r="1642" spans="1:3" ht="57.6" customHeight="1" x14ac:dyDescent="0.3">
      <c r="A1642" t="s">
        <v>196</v>
      </c>
      <c r="B1642" s="2">
        <v>45778</v>
      </c>
      <c r="C1642" s="10" t="s">
        <v>772</v>
      </c>
    </row>
    <row r="1643" spans="1:3" ht="57.6" customHeight="1" x14ac:dyDescent="0.3">
      <c r="A1643" t="s">
        <v>196</v>
      </c>
      <c r="B1643" s="2">
        <v>45809</v>
      </c>
      <c r="C1643" s="10" t="s">
        <v>773</v>
      </c>
    </row>
    <row r="1644" spans="1:3" ht="57.6" customHeight="1" x14ac:dyDescent="0.3">
      <c r="A1644" t="s">
        <v>196</v>
      </c>
      <c r="B1644" s="2">
        <v>45839</v>
      </c>
      <c r="C1644" s="10" t="s">
        <v>774</v>
      </c>
    </row>
    <row r="1645" spans="1:3" ht="57.6" customHeight="1" x14ac:dyDescent="0.3">
      <c r="A1645" t="s">
        <v>196</v>
      </c>
      <c r="B1645" s="2">
        <v>45870</v>
      </c>
      <c r="C1645" s="10" t="s">
        <v>775</v>
      </c>
    </row>
    <row r="1646" spans="1:3" ht="57.6" customHeight="1" x14ac:dyDescent="0.3">
      <c r="A1646" t="s">
        <v>196</v>
      </c>
      <c r="B1646" s="2">
        <v>45901</v>
      </c>
      <c r="C1646" s="10" t="s">
        <v>776</v>
      </c>
    </row>
    <row r="1647" spans="1:3" ht="57.6" customHeight="1" x14ac:dyDescent="0.3">
      <c r="A1647" t="s">
        <v>196</v>
      </c>
      <c r="B1647" s="2">
        <v>45931</v>
      </c>
      <c r="C1647" s="10" t="s">
        <v>777</v>
      </c>
    </row>
    <row r="1648" spans="1:3" ht="57.6" customHeight="1" x14ac:dyDescent="0.3">
      <c r="A1648" t="s">
        <v>196</v>
      </c>
      <c r="B1648" s="2">
        <v>45962</v>
      </c>
      <c r="C1648" s="10" t="s">
        <v>778</v>
      </c>
    </row>
    <row r="1649" spans="1:3" x14ac:dyDescent="0.3">
      <c r="A1649" t="s">
        <v>196</v>
      </c>
      <c r="B1649" s="2">
        <v>45992</v>
      </c>
      <c r="C1649" s="10" t="s">
        <v>599</v>
      </c>
    </row>
    <row r="1650" spans="1:3" x14ac:dyDescent="0.3">
      <c r="A1650" t="s">
        <v>196</v>
      </c>
      <c r="B1650" s="2">
        <v>46023</v>
      </c>
      <c r="C1650" s="10" t="s">
        <v>339</v>
      </c>
    </row>
    <row r="1651" spans="1:3" x14ac:dyDescent="0.3">
      <c r="A1651" t="s">
        <v>196</v>
      </c>
      <c r="B1651" s="2">
        <v>46054</v>
      </c>
      <c r="C1651" s="10" t="s">
        <v>327</v>
      </c>
    </row>
    <row r="1652" spans="1:3" x14ac:dyDescent="0.3">
      <c r="A1652" t="s">
        <v>196</v>
      </c>
      <c r="B1652" s="2">
        <v>46082</v>
      </c>
      <c r="C1652" s="10" t="s">
        <v>327</v>
      </c>
    </row>
    <row r="1653" spans="1:3" x14ac:dyDescent="0.3">
      <c r="A1653" t="s">
        <v>196</v>
      </c>
      <c r="B1653" s="2">
        <v>46113</v>
      </c>
      <c r="C1653" s="10" t="s">
        <v>303</v>
      </c>
    </row>
    <row r="1654" spans="1:3" x14ac:dyDescent="0.3">
      <c r="A1654" t="s">
        <v>196</v>
      </c>
      <c r="B1654" s="2">
        <v>46143</v>
      </c>
      <c r="C1654" s="10" t="s">
        <v>303</v>
      </c>
    </row>
    <row r="1655" spans="1:3" x14ac:dyDescent="0.3">
      <c r="A1655" t="s">
        <v>196</v>
      </c>
      <c r="B1655" s="2">
        <v>46174</v>
      </c>
      <c r="C1655" s="10"/>
    </row>
    <row r="1656" spans="1:3" x14ac:dyDescent="0.3">
      <c r="A1656" t="s">
        <v>196</v>
      </c>
      <c r="B1656" s="2">
        <v>46204</v>
      </c>
      <c r="C1656" s="10"/>
    </row>
    <row r="1657" spans="1:3" x14ac:dyDescent="0.3">
      <c r="A1657" t="s">
        <v>196</v>
      </c>
      <c r="B1657" s="2">
        <v>46235</v>
      </c>
      <c r="C1657" s="10"/>
    </row>
    <row r="1658" spans="1:3" x14ac:dyDescent="0.3">
      <c r="A1658" t="s">
        <v>201</v>
      </c>
      <c r="B1658" s="2">
        <v>45536</v>
      </c>
      <c r="C1658" s="10"/>
    </row>
    <row r="1659" spans="1:3" x14ac:dyDescent="0.3">
      <c r="A1659" t="s">
        <v>201</v>
      </c>
      <c r="B1659" s="2">
        <v>45566</v>
      </c>
      <c r="C1659" s="10"/>
    </row>
    <row r="1660" spans="1:3" x14ac:dyDescent="0.3">
      <c r="A1660" t="s">
        <v>201</v>
      </c>
      <c r="B1660" s="2">
        <v>45597</v>
      </c>
      <c r="C1660" s="10"/>
    </row>
    <row r="1661" spans="1:3" x14ac:dyDescent="0.3">
      <c r="A1661" t="s">
        <v>201</v>
      </c>
      <c r="B1661" s="2">
        <v>45627</v>
      </c>
      <c r="C1661" s="10"/>
    </row>
    <row r="1662" spans="1:3" x14ac:dyDescent="0.3">
      <c r="A1662" t="s">
        <v>201</v>
      </c>
      <c r="B1662" s="2">
        <v>45658</v>
      </c>
      <c r="C1662" s="10"/>
    </row>
    <row r="1663" spans="1:3" ht="28.95" customHeight="1" x14ac:dyDescent="0.3">
      <c r="A1663" t="s">
        <v>201</v>
      </c>
      <c r="B1663" s="2">
        <v>45689</v>
      </c>
      <c r="C1663" s="10" t="s">
        <v>779</v>
      </c>
    </row>
    <row r="1664" spans="1:3" x14ac:dyDescent="0.3">
      <c r="A1664" t="s">
        <v>201</v>
      </c>
      <c r="B1664" s="2">
        <v>45717</v>
      </c>
      <c r="C1664" s="10" t="s">
        <v>456</v>
      </c>
    </row>
    <row r="1665" spans="1:3" ht="28.8" x14ac:dyDescent="0.3">
      <c r="A1665" t="s">
        <v>201</v>
      </c>
      <c r="B1665" s="2">
        <v>45748</v>
      </c>
      <c r="C1665" s="10" t="s">
        <v>780</v>
      </c>
    </row>
    <row r="1666" spans="1:3" ht="57.6" customHeight="1" x14ac:dyDescent="0.3">
      <c r="A1666" t="s">
        <v>201</v>
      </c>
      <c r="B1666" s="2">
        <v>45778</v>
      </c>
      <c r="C1666" s="10" t="s">
        <v>781</v>
      </c>
    </row>
    <row r="1667" spans="1:3" ht="57.6" customHeight="1" x14ac:dyDescent="0.3">
      <c r="A1667" t="s">
        <v>201</v>
      </c>
      <c r="B1667" s="2">
        <v>45809</v>
      </c>
      <c r="C1667" s="10" t="s">
        <v>782</v>
      </c>
    </row>
    <row r="1668" spans="1:3" ht="57.6" customHeight="1" x14ac:dyDescent="0.3">
      <c r="A1668" t="s">
        <v>201</v>
      </c>
      <c r="B1668" s="2">
        <v>45839</v>
      </c>
      <c r="C1668" s="10" t="s">
        <v>783</v>
      </c>
    </row>
    <row r="1669" spans="1:3" ht="72" customHeight="1" x14ac:dyDescent="0.3">
      <c r="A1669" t="s">
        <v>201</v>
      </c>
      <c r="B1669" s="2">
        <v>45870</v>
      </c>
      <c r="C1669" s="10" t="s">
        <v>784</v>
      </c>
    </row>
    <row r="1670" spans="1:3" ht="57.6" customHeight="1" x14ac:dyDescent="0.3">
      <c r="A1670" t="s">
        <v>201</v>
      </c>
      <c r="B1670" s="2">
        <v>45901</v>
      </c>
      <c r="C1670" s="10" t="s">
        <v>785</v>
      </c>
    </row>
    <row r="1671" spans="1:3" ht="57.6" customHeight="1" x14ac:dyDescent="0.3">
      <c r="A1671" t="s">
        <v>201</v>
      </c>
      <c r="B1671" s="2">
        <v>45931</v>
      </c>
      <c r="C1671" s="10" t="s">
        <v>786</v>
      </c>
    </row>
    <row r="1672" spans="1:3" ht="57.6" customHeight="1" x14ac:dyDescent="0.3">
      <c r="A1672" t="s">
        <v>201</v>
      </c>
      <c r="B1672" s="2">
        <v>45962</v>
      </c>
      <c r="C1672" s="10" t="s">
        <v>787</v>
      </c>
    </row>
    <row r="1673" spans="1:3" ht="28.8" x14ac:dyDescent="0.3">
      <c r="A1673" t="s">
        <v>201</v>
      </c>
      <c r="B1673" s="2">
        <v>45992</v>
      </c>
      <c r="C1673" s="10" t="s">
        <v>788</v>
      </c>
    </row>
    <row r="1674" spans="1:3" x14ac:dyDescent="0.3">
      <c r="A1674" t="s">
        <v>201</v>
      </c>
      <c r="B1674" s="2">
        <v>46023</v>
      </c>
      <c r="C1674" s="10" t="s">
        <v>339</v>
      </c>
    </row>
    <row r="1675" spans="1:3" x14ac:dyDescent="0.3">
      <c r="A1675" t="s">
        <v>201</v>
      </c>
      <c r="B1675" s="2">
        <v>46054</v>
      </c>
      <c r="C1675" s="10" t="s">
        <v>327</v>
      </c>
    </row>
    <row r="1676" spans="1:3" ht="28.8" x14ac:dyDescent="0.3">
      <c r="A1676" t="s">
        <v>201</v>
      </c>
      <c r="B1676" s="2">
        <v>46082</v>
      </c>
      <c r="C1676" s="10" t="s">
        <v>789</v>
      </c>
    </row>
    <row r="1677" spans="1:3" ht="28.8" x14ac:dyDescent="0.3">
      <c r="A1677" t="s">
        <v>201</v>
      </c>
      <c r="B1677" s="2">
        <v>46113</v>
      </c>
      <c r="C1677" s="10" t="s">
        <v>665</v>
      </c>
    </row>
    <row r="1678" spans="1:3" ht="28.8" x14ac:dyDescent="0.3">
      <c r="A1678" t="s">
        <v>201</v>
      </c>
      <c r="B1678" s="2">
        <v>46143</v>
      </c>
      <c r="C1678" s="10" t="s">
        <v>868</v>
      </c>
    </row>
    <row r="1679" spans="1:3" x14ac:dyDescent="0.3">
      <c r="A1679" t="s">
        <v>201</v>
      </c>
      <c r="B1679" s="2">
        <v>46174</v>
      </c>
      <c r="C1679" s="10"/>
    </row>
    <row r="1680" spans="1:3" x14ac:dyDescent="0.3">
      <c r="A1680" t="s">
        <v>201</v>
      </c>
      <c r="B1680" s="2">
        <v>46204</v>
      </c>
      <c r="C1680" s="10"/>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790</v>
      </c>
    </row>
    <row r="1695" spans="1:3" ht="43.2" customHeight="1" x14ac:dyDescent="0.3">
      <c r="A1695" t="s">
        <v>211</v>
      </c>
      <c r="B1695" s="2">
        <v>45931</v>
      </c>
      <c r="C1695" s="10" t="s">
        <v>791</v>
      </c>
    </row>
    <row r="1696" spans="1:3" ht="43.2" customHeight="1" x14ac:dyDescent="0.3">
      <c r="A1696" t="s">
        <v>211</v>
      </c>
      <c r="B1696" s="2">
        <v>45962</v>
      </c>
      <c r="C1696" s="10" t="s">
        <v>792</v>
      </c>
    </row>
    <row r="1697" spans="1:3" ht="28.8" x14ac:dyDescent="0.3">
      <c r="A1697" t="s">
        <v>211</v>
      </c>
      <c r="B1697" s="2">
        <v>45992</v>
      </c>
      <c r="C1697" s="10" t="s">
        <v>793</v>
      </c>
    </row>
    <row r="1698" spans="1:3" x14ac:dyDescent="0.3">
      <c r="A1698" t="s">
        <v>211</v>
      </c>
      <c r="B1698" s="2">
        <v>46023</v>
      </c>
      <c r="C1698" s="10" t="s">
        <v>339</v>
      </c>
    </row>
    <row r="1699" spans="1:3" ht="28.8" x14ac:dyDescent="0.3">
      <c r="A1699" t="s">
        <v>211</v>
      </c>
      <c r="B1699" s="2">
        <v>46054</v>
      </c>
      <c r="C1699" s="10" t="s">
        <v>302</v>
      </c>
    </row>
    <row r="1700" spans="1:3" x14ac:dyDescent="0.3">
      <c r="A1700" t="s">
        <v>211</v>
      </c>
      <c r="B1700" s="2">
        <v>46082</v>
      </c>
      <c r="C1700" s="10" t="s">
        <v>599</v>
      </c>
    </row>
    <row r="1701" spans="1:3" ht="28.8" x14ac:dyDescent="0.3">
      <c r="A1701" t="s">
        <v>211</v>
      </c>
      <c r="B1701" s="2">
        <v>46113</v>
      </c>
      <c r="C1701" s="10" t="s">
        <v>794</v>
      </c>
    </row>
    <row r="1702" spans="1:3" x14ac:dyDescent="0.3">
      <c r="A1702" t="s">
        <v>211</v>
      </c>
      <c r="B1702" s="2">
        <v>46143</v>
      </c>
      <c r="C1702" s="10" t="s">
        <v>853</v>
      </c>
    </row>
    <row r="1703" spans="1:3" x14ac:dyDescent="0.3">
      <c r="A1703" t="s">
        <v>211</v>
      </c>
      <c r="B1703" s="2">
        <v>46174</v>
      </c>
      <c r="C1703" s="10"/>
    </row>
    <row r="1704" spans="1:3" x14ac:dyDescent="0.3">
      <c r="A1704" t="s">
        <v>211</v>
      </c>
      <c r="B1704" s="2">
        <v>46204</v>
      </c>
      <c r="C1704" s="10"/>
    </row>
    <row r="1705" spans="1:3" x14ac:dyDescent="0.3">
      <c r="A1705" t="s">
        <v>211</v>
      </c>
      <c r="B1705" s="2">
        <v>46235</v>
      </c>
      <c r="C1705" s="10"/>
    </row>
    <row r="1706" spans="1:3" x14ac:dyDescent="0.3">
      <c r="A1706" t="s">
        <v>202</v>
      </c>
      <c r="B1706" s="2">
        <v>45536</v>
      </c>
      <c r="C1706" s="10"/>
    </row>
    <row r="1707" spans="1:3" x14ac:dyDescent="0.3">
      <c r="A1707" t="s">
        <v>202</v>
      </c>
      <c r="B1707" s="2">
        <v>45566</v>
      </c>
      <c r="C1707" s="10"/>
    </row>
    <row r="1708" spans="1:3" x14ac:dyDescent="0.3">
      <c r="A1708" t="s">
        <v>202</v>
      </c>
      <c r="B1708" s="2">
        <v>45597</v>
      </c>
      <c r="C1708" s="10"/>
    </row>
    <row r="1709" spans="1:3" x14ac:dyDescent="0.3">
      <c r="A1709" t="s">
        <v>202</v>
      </c>
      <c r="B1709" s="2">
        <v>45627</v>
      </c>
      <c r="C1709" s="10"/>
    </row>
    <row r="1710" spans="1:3" x14ac:dyDescent="0.3">
      <c r="A1710" t="s">
        <v>202</v>
      </c>
      <c r="B1710" s="2">
        <v>45658</v>
      </c>
      <c r="C1710" s="10"/>
    </row>
    <row r="1711" spans="1:3" ht="57.6" customHeight="1" x14ac:dyDescent="0.3">
      <c r="A1711" t="s">
        <v>202</v>
      </c>
      <c r="B1711" s="2">
        <v>45689</v>
      </c>
      <c r="C1711" s="10" t="s">
        <v>795</v>
      </c>
    </row>
    <row r="1712" spans="1:3" ht="86.4" customHeight="1" x14ac:dyDescent="0.3">
      <c r="A1712" t="s">
        <v>202</v>
      </c>
      <c r="B1712" s="2">
        <v>45717</v>
      </c>
      <c r="C1712" s="10" t="s">
        <v>796</v>
      </c>
    </row>
    <row r="1713" spans="1:8" ht="57.6" customHeight="1" x14ac:dyDescent="0.3">
      <c r="A1713" t="s">
        <v>202</v>
      </c>
      <c r="B1713" s="2">
        <v>45748</v>
      </c>
      <c r="C1713" s="10" t="s">
        <v>797</v>
      </c>
    </row>
    <row r="1714" spans="1:8" ht="57.6" customHeight="1" x14ac:dyDescent="0.3">
      <c r="A1714" t="s">
        <v>202</v>
      </c>
      <c r="B1714" s="2">
        <v>45778</v>
      </c>
      <c r="C1714" s="10" t="s">
        <v>798</v>
      </c>
    </row>
    <row r="1715" spans="1:8" ht="57.6" customHeight="1" x14ac:dyDescent="0.3">
      <c r="A1715" t="s">
        <v>202</v>
      </c>
      <c r="B1715" s="2">
        <v>45809</v>
      </c>
      <c r="C1715" s="10" t="s">
        <v>799</v>
      </c>
    </row>
    <row r="1716" spans="1:8" x14ac:dyDescent="0.3">
      <c r="A1716" t="s">
        <v>202</v>
      </c>
      <c r="B1716" s="2">
        <v>45839</v>
      </c>
      <c r="C1716" t="s">
        <v>912</v>
      </c>
      <c r="D1716">
        <v>0</v>
      </c>
      <c r="E1716" t="s">
        <v>33</v>
      </c>
      <c r="F1716" t="s">
        <v>33</v>
      </c>
      <c r="G1716" s="10" t="s">
        <v>944</v>
      </c>
      <c r="H1716" t="s">
        <v>36</v>
      </c>
    </row>
    <row r="1717" spans="1:8" x14ac:dyDescent="0.3">
      <c r="A1717" t="s">
        <v>202</v>
      </c>
      <c r="B1717" s="2">
        <v>45870</v>
      </c>
      <c r="C1717" t="s">
        <v>912</v>
      </c>
      <c r="D1717">
        <v>0</v>
      </c>
      <c r="E1717" t="s">
        <v>33</v>
      </c>
      <c r="F1717" t="s">
        <v>33</v>
      </c>
      <c r="G1717" s="10" t="s">
        <v>944</v>
      </c>
      <c r="H1717" t="s">
        <v>36</v>
      </c>
    </row>
    <row r="1718" spans="1:8" x14ac:dyDescent="0.3">
      <c r="A1718" t="s">
        <v>202</v>
      </c>
      <c r="B1718" s="2">
        <v>45901</v>
      </c>
      <c r="C1718" t="s">
        <v>920</v>
      </c>
      <c r="D1718">
        <v>0</v>
      </c>
      <c r="E1718" t="s">
        <v>33</v>
      </c>
      <c r="F1718" t="s">
        <v>945</v>
      </c>
      <c r="G1718" s="10" t="s">
        <v>944</v>
      </c>
      <c r="H1718" t="s">
        <v>36</v>
      </c>
    </row>
    <row r="1719" spans="1:8" ht="28.8" x14ac:dyDescent="0.3">
      <c r="A1719" t="s">
        <v>202</v>
      </c>
      <c r="B1719" s="2">
        <v>45931</v>
      </c>
      <c r="C1719" t="s">
        <v>912</v>
      </c>
      <c r="D1719">
        <v>0</v>
      </c>
      <c r="E1719" t="s">
        <v>33</v>
      </c>
      <c r="F1719" t="s">
        <v>33</v>
      </c>
      <c r="G1719" s="10" t="s">
        <v>933</v>
      </c>
      <c r="H1719" t="s">
        <v>36</v>
      </c>
    </row>
    <row r="1720" spans="1:8" x14ac:dyDescent="0.3">
      <c r="A1720" t="s">
        <v>202</v>
      </c>
      <c r="B1720" s="2">
        <v>45962</v>
      </c>
      <c r="C1720" t="s">
        <v>920</v>
      </c>
      <c r="D1720">
        <v>0</v>
      </c>
      <c r="E1720" t="s">
        <v>33</v>
      </c>
      <c r="F1720" t="s">
        <v>33</v>
      </c>
      <c r="G1720" s="10" t="s">
        <v>944</v>
      </c>
      <c r="H1720" t="s">
        <v>36</v>
      </c>
    </row>
    <row r="1721" spans="1:8" ht="28.8" x14ac:dyDescent="0.3">
      <c r="A1721" t="s">
        <v>202</v>
      </c>
      <c r="B1721" s="2">
        <v>45992</v>
      </c>
      <c r="C1721" t="s">
        <v>947</v>
      </c>
      <c r="D1721" t="s">
        <v>946</v>
      </c>
      <c r="E1721" t="s">
        <v>937</v>
      </c>
      <c r="F1721" t="s">
        <v>33</v>
      </c>
      <c r="G1721" s="10" t="s">
        <v>933</v>
      </c>
      <c r="H1721" t="s">
        <v>36</v>
      </c>
    </row>
    <row r="1722" spans="1:8" ht="28.8" x14ac:dyDescent="0.3">
      <c r="A1722" t="s">
        <v>202</v>
      </c>
      <c r="B1722" s="2">
        <v>46023</v>
      </c>
      <c r="C1722" t="s">
        <v>896</v>
      </c>
      <c r="D1722" t="s">
        <v>948</v>
      </c>
      <c r="E1722" t="s">
        <v>937</v>
      </c>
      <c r="F1722" t="s">
        <v>33</v>
      </c>
      <c r="G1722" s="10" t="s">
        <v>933</v>
      </c>
      <c r="H1722" t="s">
        <v>36</v>
      </c>
    </row>
    <row r="1723" spans="1:8" x14ac:dyDescent="0.3">
      <c r="A1723" t="s">
        <v>202</v>
      </c>
      <c r="B1723" s="2">
        <v>46054</v>
      </c>
      <c r="C1723" t="s">
        <v>896</v>
      </c>
      <c r="D1723">
        <v>0</v>
      </c>
      <c r="E1723" t="s">
        <v>33</v>
      </c>
      <c r="F1723" t="s">
        <v>33</v>
      </c>
      <c r="G1723" s="10" t="s">
        <v>944</v>
      </c>
      <c r="H1723" t="s">
        <v>36</v>
      </c>
    </row>
    <row r="1724" spans="1:8" ht="28.8" x14ac:dyDescent="0.3">
      <c r="A1724" t="s">
        <v>202</v>
      </c>
      <c r="B1724" s="2">
        <v>46082</v>
      </c>
      <c r="C1724" t="s">
        <v>912</v>
      </c>
      <c r="D1724">
        <v>0</v>
      </c>
      <c r="E1724" t="s">
        <v>33</v>
      </c>
      <c r="F1724" t="s">
        <v>33</v>
      </c>
      <c r="G1724" s="10" t="s">
        <v>933</v>
      </c>
      <c r="H1724" t="s">
        <v>36</v>
      </c>
    </row>
    <row r="1725" spans="1:8" ht="28.8" x14ac:dyDescent="0.3">
      <c r="A1725" t="s">
        <v>202</v>
      </c>
      <c r="B1725" s="2">
        <v>46113</v>
      </c>
      <c r="C1725" t="s">
        <v>920</v>
      </c>
      <c r="D1725">
        <v>0</v>
      </c>
      <c r="E1725" t="s">
        <v>33</v>
      </c>
      <c r="F1725" t="s">
        <v>33</v>
      </c>
      <c r="G1725" s="10" t="s">
        <v>933</v>
      </c>
      <c r="H1725" t="s">
        <v>36</v>
      </c>
    </row>
    <row r="1726" spans="1:8" x14ac:dyDescent="0.3">
      <c r="A1726" t="s">
        <v>202</v>
      </c>
      <c r="B1726" s="2">
        <v>46143</v>
      </c>
      <c r="C1726" t="s">
        <v>912</v>
      </c>
      <c r="D1726">
        <v>0</v>
      </c>
      <c r="E1726" t="s">
        <v>33</v>
      </c>
      <c r="F1726" t="s">
        <v>33</v>
      </c>
      <c r="G1726" s="10" t="s">
        <v>944</v>
      </c>
      <c r="H1726" t="s">
        <v>36</v>
      </c>
    </row>
    <row r="1727" spans="1:8" ht="28.8" x14ac:dyDescent="0.3">
      <c r="A1727" t="s">
        <v>194</v>
      </c>
      <c r="B1727" s="2">
        <v>46174</v>
      </c>
      <c r="C1727" t="s">
        <v>920</v>
      </c>
      <c r="D1727">
        <v>0</v>
      </c>
      <c r="E1727" t="s">
        <v>33</v>
      </c>
      <c r="F1727" t="s">
        <v>33</v>
      </c>
      <c r="G1727" s="10" t="s">
        <v>997</v>
      </c>
      <c r="H1727" t="s">
        <v>36</v>
      </c>
    </row>
    <row r="1728" spans="1:8" x14ac:dyDescent="0.3">
      <c r="A1728" t="s">
        <v>202</v>
      </c>
      <c r="B1728" s="2">
        <v>46204</v>
      </c>
      <c r="C1728" s="10"/>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800</v>
      </c>
    </row>
    <row r="1736" spans="1:3" x14ac:dyDescent="0.3">
      <c r="A1736" t="s">
        <v>206</v>
      </c>
      <c r="B1736" s="2">
        <v>45717</v>
      </c>
      <c r="C1736" s="10" t="s">
        <v>800</v>
      </c>
    </row>
    <row r="1737" spans="1:3" x14ac:dyDescent="0.3">
      <c r="A1737" t="s">
        <v>206</v>
      </c>
      <c r="B1737" s="2">
        <v>45748</v>
      </c>
      <c r="C1737" s="10" t="s">
        <v>800</v>
      </c>
    </row>
    <row r="1738" spans="1:3" x14ac:dyDescent="0.3">
      <c r="A1738" t="s">
        <v>206</v>
      </c>
      <c r="B1738" s="2">
        <v>45778</v>
      </c>
      <c r="C1738" s="10" t="s">
        <v>800</v>
      </c>
    </row>
    <row r="1739" spans="1:3" x14ac:dyDescent="0.3">
      <c r="A1739" t="s">
        <v>206</v>
      </c>
      <c r="B1739" s="2">
        <v>45809</v>
      </c>
      <c r="C1739" s="10" t="s">
        <v>800</v>
      </c>
    </row>
    <row r="1740" spans="1:3" x14ac:dyDescent="0.3">
      <c r="A1740" t="s">
        <v>206</v>
      </c>
      <c r="B1740" s="2">
        <v>45839</v>
      </c>
      <c r="C1740" s="10" t="s">
        <v>800</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3" x14ac:dyDescent="0.3">
      <c r="A1745" t="s">
        <v>206</v>
      </c>
      <c r="B1745" s="2">
        <v>45992</v>
      </c>
      <c r="C1745" s="10"/>
    </row>
    <row r="1746" spans="1:3" x14ac:dyDescent="0.3">
      <c r="A1746" t="s">
        <v>206</v>
      </c>
      <c r="B1746" s="2">
        <v>46023</v>
      </c>
      <c r="C1746" s="10"/>
    </row>
    <row r="1747" spans="1:3" x14ac:dyDescent="0.3">
      <c r="A1747" t="s">
        <v>206</v>
      </c>
      <c r="B1747" s="2">
        <v>46054</v>
      </c>
      <c r="C1747" s="10"/>
    </row>
    <row r="1748" spans="1:3" x14ac:dyDescent="0.3">
      <c r="A1748" t="s">
        <v>206</v>
      </c>
      <c r="B1748" s="2">
        <v>46082</v>
      </c>
      <c r="C1748" s="10" t="s">
        <v>36</v>
      </c>
    </row>
    <row r="1749" spans="1:3" x14ac:dyDescent="0.3">
      <c r="A1749" t="s">
        <v>206</v>
      </c>
      <c r="B1749" s="2">
        <v>46113</v>
      </c>
      <c r="C1749" s="10" t="s">
        <v>36</v>
      </c>
    </row>
    <row r="1750" spans="1:3" x14ac:dyDescent="0.3">
      <c r="A1750" t="s">
        <v>206</v>
      </c>
      <c r="B1750" s="2">
        <v>46143</v>
      </c>
      <c r="C1750" s="10" t="s">
        <v>864</v>
      </c>
    </row>
    <row r="1751" spans="1:3" x14ac:dyDescent="0.3">
      <c r="A1751" t="s">
        <v>206</v>
      </c>
      <c r="B1751" s="2">
        <v>46174</v>
      </c>
      <c r="C1751" s="10"/>
    </row>
    <row r="1752" spans="1:3" x14ac:dyDescent="0.3">
      <c r="A1752" t="s">
        <v>206</v>
      </c>
      <c r="B1752" s="2">
        <v>46204</v>
      </c>
      <c r="C1752" s="10"/>
    </row>
    <row r="1753" spans="1:3" x14ac:dyDescent="0.3">
      <c r="A1753" t="s">
        <v>206</v>
      </c>
      <c r="B1753" s="2">
        <v>46235</v>
      </c>
      <c r="C1753" s="10"/>
    </row>
    <row r="1754" spans="1:3" x14ac:dyDescent="0.3">
      <c r="A1754" t="s">
        <v>252</v>
      </c>
      <c r="B1754" s="2">
        <v>46143</v>
      </c>
      <c r="C1754" t="s">
        <v>303</v>
      </c>
    </row>
    <row r="1755" spans="1:3" x14ac:dyDescent="0.3">
      <c r="A1755" t="s">
        <v>272</v>
      </c>
      <c r="B1755" s="2">
        <v>45536</v>
      </c>
    </row>
    <row r="1756" spans="1:3" x14ac:dyDescent="0.3">
      <c r="A1756" t="s">
        <v>272</v>
      </c>
      <c r="B1756" s="2">
        <v>45566</v>
      </c>
    </row>
    <row r="1757" spans="1:3" x14ac:dyDescent="0.3">
      <c r="A1757" t="s">
        <v>272</v>
      </c>
      <c r="B1757" s="2">
        <v>45597</v>
      </c>
    </row>
    <row r="1758" spans="1:3" x14ac:dyDescent="0.3">
      <c r="A1758" t="s">
        <v>272</v>
      </c>
      <c r="B1758" s="2">
        <v>45627</v>
      </c>
    </row>
    <row r="1759" spans="1:3" x14ac:dyDescent="0.3">
      <c r="A1759" t="s">
        <v>272</v>
      </c>
      <c r="B1759" s="2">
        <v>45658</v>
      </c>
    </row>
    <row r="1760" spans="1:3" x14ac:dyDescent="0.3">
      <c r="A1760" t="s">
        <v>272</v>
      </c>
      <c r="B1760" s="2">
        <v>45689</v>
      </c>
    </row>
    <row r="1761" spans="1:8" x14ac:dyDescent="0.3">
      <c r="A1761" t="s">
        <v>272</v>
      </c>
      <c r="B1761" s="2">
        <v>45717</v>
      </c>
    </row>
    <row r="1762" spans="1:8" x14ac:dyDescent="0.3">
      <c r="A1762" t="s">
        <v>272</v>
      </c>
      <c r="B1762" s="2">
        <v>45748</v>
      </c>
    </row>
    <row r="1763" spans="1:8" x14ac:dyDescent="0.3">
      <c r="A1763" t="s">
        <v>272</v>
      </c>
      <c r="B1763" s="2">
        <v>45778</v>
      </c>
    </row>
    <row r="1764" spans="1:8" x14ac:dyDescent="0.3">
      <c r="A1764" t="s">
        <v>272</v>
      </c>
      <c r="B1764" s="2">
        <v>45809</v>
      </c>
    </row>
    <row r="1765" spans="1:8" x14ac:dyDescent="0.3">
      <c r="A1765" t="s">
        <v>272</v>
      </c>
      <c r="B1765" s="2">
        <v>45839</v>
      </c>
      <c r="C1765" t="s">
        <v>36</v>
      </c>
      <c r="D1765" t="s">
        <v>36</v>
      </c>
      <c r="E1765" t="s">
        <v>36</v>
      </c>
      <c r="F1765" t="s">
        <v>36</v>
      </c>
      <c r="G1765" t="s">
        <v>36</v>
      </c>
      <c r="H1765" t="s">
        <v>917</v>
      </c>
    </row>
    <row r="1766" spans="1:8" x14ac:dyDescent="0.3">
      <c r="A1766" t="s">
        <v>272</v>
      </c>
      <c r="B1766" s="2">
        <v>45870</v>
      </c>
      <c r="C1766" t="s">
        <v>36</v>
      </c>
      <c r="D1766" t="s">
        <v>36</v>
      </c>
      <c r="E1766" t="s">
        <v>36</v>
      </c>
      <c r="F1766" t="s">
        <v>36</v>
      </c>
      <c r="G1766" t="s">
        <v>36</v>
      </c>
      <c r="H1766" t="s">
        <v>917</v>
      </c>
    </row>
    <row r="1767" spans="1:8" x14ac:dyDescent="0.3">
      <c r="A1767" t="s">
        <v>272</v>
      </c>
      <c r="B1767" s="2">
        <v>45901</v>
      </c>
      <c r="C1767" t="s">
        <v>36</v>
      </c>
      <c r="D1767" t="s">
        <v>36</v>
      </c>
      <c r="E1767" t="s">
        <v>36</v>
      </c>
      <c r="F1767" t="s">
        <v>36</v>
      </c>
      <c r="G1767" t="s">
        <v>36</v>
      </c>
      <c r="H1767" t="s">
        <v>917</v>
      </c>
    </row>
    <row r="1768" spans="1:8" x14ac:dyDescent="0.3">
      <c r="A1768" t="s">
        <v>272</v>
      </c>
      <c r="B1768" s="2">
        <v>45931</v>
      </c>
      <c r="C1768" t="s">
        <v>36</v>
      </c>
      <c r="D1768" t="s">
        <v>36</v>
      </c>
      <c r="E1768" t="s">
        <v>36</v>
      </c>
      <c r="F1768" t="s">
        <v>36</v>
      </c>
      <c r="G1768" t="s">
        <v>36</v>
      </c>
      <c r="H1768" t="s">
        <v>917</v>
      </c>
    </row>
    <row r="1769" spans="1:8" x14ac:dyDescent="0.3">
      <c r="A1769" t="s">
        <v>272</v>
      </c>
      <c r="B1769" s="2">
        <v>45962</v>
      </c>
      <c r="C1769" t="s">
        <v>36</v>
      </c>
      <c r="D1769" t="s">
        <v>36</v>
      </c>
      <c r="E1769" t="s">
        <v>36</v>
      </c>
      <c r="F1769" t="s">
        <v>36</v>
      </c>
      <c r="G1769" t="s">
        <v>36</v>
      </c>
      <c r="H1769" t="s">
        <v>917</v>
      </c>
    </row>
    <row r="1770" spans="1:8" x14ac:dyDescent="0.3">
      <c r="A1770" t="s">
        <v>272</v>
      </c>
      <c r="B1770" s="2">
        <v>45992</v>
      </c>
      <c r="C1770" t="s">
        <v>36</v>
      </c>
      <c r="D1770" t="s">
        <v>36</v>
      </c>
      <c r="E1770" t="s">
        <v>36</v>
      </c>
      <c r="F1770" t="s">
        <v>36</v>
      </c>
      <c r="G1770" t="s">
        <v>36</v>
      </c>
      <c r="H1770" t="s">
        <v>917</v>
      </c>
    </row>
    <row r="1771" spans="1:8" x14ac:dyDescent="0.3">
      <c r="A1771" t="s">
        <v>272</v>
      </c>
      <c r="B1771" s="2">
        <v>46023</v>
      </c>
      <c r="C1771" t="s">
        <v>36</v>
      </c>
      <c r="D1771" t="s">
        <v>36</v>
      </c>
      <c r="E1771" t="s">
        <v>36</v>
      </c>
      <c r="F1771" t="s">
        <v>36</v>
      </c>
      <c r="G1771" t="s">
        <v>36</v>
      </c>
      <c r="H1771" t="s">
        <v>917</v>
      </c>
    </row>
    <row r="1772" spans="1:8" x14ac:dyDescent="0.3">
      <c r="A1772" t="s">
        <v>272</v>
      </c>
      <c r="B1772" s="2">
        <v>46054</v>
      </c>
      <c r="C1772" t="s">
        <v>36</v>
      </c>
      <c r="D1772" t="s">
        <v>36</v>
      </c>
      <c r="E1772" t="s">
        <v>36</v>
      </c>
      <c r="F1772" t="s">
        <v>36</v>
      </c>
      <c r="G1772" t="s">
        <v>36</v>
      </c>
      <c r="H1772" t="s">
        <v>917</v>
      </c>
    </row>
    <row r="1773" spans="1:8" x14ac:dyDescent="0.3">
      <c r="A1773" t="s">
        <v>272</v>
      </c>
      <c r="B1773" s="2">
        <v>46082</v>
      </c>
      <c r="C1773" t="s">
        <v>36</v>
      </c>
      <c r="D1773" t="s">
        <v>36</v>
      </c>
      <c r="E1773" t="s">
        <v>36</v>
      </c>
      <c r="F1773" t="s">
        <v>36</v>
      </c>
      <c r="G1773" t="s">
        <v>36</v>
      </c>
      <c r="H1773" t="s">
        <v>917</v>
      </c>
    </row>
    <row r="1774" spans="1:8" x14ac:dyDescent="0.3">
      <c r="A1774" t="s">
        <v>272</v>
      </c>
      <c r="B1774" s="2">
        <v>46113</v>
      </c>
      <c r="C1774" t="s">
        <v>36</v>
      </c>
      <c r="D1774" t="s">
        <v>36</v>
      </c>
      <c r="E1774" t="s">
        <v>36</v>
      </c>
      <c r="F1774" t="s">
        <v>36</v>
      </c>
      <c r="G1774" t="s">
        <v>36</v>
      </c>
      <c r="H1774" t="s">
        <v>917</v>
      </c>
    </row>
    <row r="1775" spans="1:8" x14ac:dyDescent="0.3">
      <c r="A1775" t="s">
        <v>272</v>
      </c>
      <c r="B1775" s="2">
        <v>46143</v>
      </c>
      <c r="C1775" t="s">
        <v>918</v>
      </c>
      <c r="D1775" t="s">
        <v>919</v>
      </c>
      <c r="E1775" t="s">
        <v>917</v>
      </c>
      <c r="F1775" t="s">
        <v>36</v>
      </c>
      <c r="G1775" t="s">
        <v>36</v>
      </c>
    </row>
    <row r="1776" spans="1:8" x14ac:dyDescent="0.3">
      <c r="A1776" t="s">
        <v>202</v>
      </c>
      <c r="B1776" s="2">
        <v>46174</v>
      </c>
      <c r="C1776" t="s">
        <v>920</v>
      </c>
      <c r="D1776">
        <v>0</v>
      </c>
      <c r="E1776" t="s">
        <v>33</v>
      </c>
      <c r="F1776" t="s">
        <v>33</v>
      </c>
      <c r="G1776" s="10" t="s">
        <v>944</v>
      </c>
      <c r="H1776" t="s">
        <v>36</v>
      </c>
    </row>
    <row r="1777" spans="1:8" x14ac:dyDescent="0.3">
      <c r="A1777" t="s">
        <v>272</v>
      </c>
      <c r="B1777" s="2">
        <v>46204</v>
      </c>
    </row>
    <row r="1778" spans="1:8" x14ac:dyDescent="0.3">
      <c r="A1778" t="s">
        <v>272</v>
      </c>
      <c r="B1778" s="2">
        <v>46235</v>
      </c>
    </row>
    <row r="1779" spans="1:8" x14ac:dyDescent="0.3">
      <c r="A1779" t="s">
        <v>251</v>
      </c>
      <c r="B1779" s="2">
        <v>45536</v>
      </c>
    </row>
    <row r="1780" spans="1:8" x14ac:dyDescent="0.3">
      <c r="A1780" t="s">
        <v>251</v>
      </c>
      <c r="B1780" s="2">
        <v>45566</v>
      </c>
    </row>
    <row r="1781" spans="1:8" x14ac:dyDescent="0.3">
      <c r="A1781" t="s">
        <v>251</v>
      </c>
      <c r="B1781" s="2">
        <v>45597</v>
      </c>
    </row>
    <row r="1782" spans="1:8" x14ac:dyDescent="0.3">
      <c r="A1782" t="s">
        <v>251</v>
      </c>
      <c r="B1782" s="2">
        <v>45627</v>
      </c>
    </row>
    <row r="1783" spans="1:8" x14ac:dyDescent="0.3">
      <c r="A1783" t="s">
        <v>251</v>
      </c>
      <c r="B1783" s="2">
        <v>45658</v>
      </c>
    </row>
    <row r="1784" spans="1:8" x14ac:dyDescent="0.3">
      <c r="A1784" t="s">
        <v>251</v>
      </c>
      <c r="B1784" s="2">
        <v>45689</v>
      </c>
    </row>
    <row r="1785" spans="1:8" x14ac:dyDescent="0.3">
      <c r="A1785" t="s">
        <v>251</v>
      </c>
      <c r="B1785" s="2">
        <v>45717</v>
      </c>
    </row>
    <row r="1786" spans="1:8" x14ac:dyDescent="0.3">
      <c r="A1786" t="s">
        <v>251</v>
      </c>
      <c r="B1786" s="2">
        <v>45748</v>
      </c>
    </row>
    <row r="1787" spans="1:8" x14ac:dyDescent="0.3">
      <c r="A1787" t="s">
        <v>251</v>
      </c>
      <c r="B1787" s="2">
        <v>45778</v>
      </c>
    </row>
    <row r="1788" spans="1:8" x14ac:dyDescent="0.3">
      <c r="A1788" t="s">
        <v>251</v>
      </c>
      <c r="B1788" s="2">
        <v>45809</v>
      </c>
    </row>
    <row r="1789" spans="1:8" x14ac:dyDescent="0.3">
      <c r="A1789" t="s">
        <v>251</v>
      </c>
      <c r="B1789" s="2">
        <v>45839</v>
      </c>
      <c r="C1789" t="s">
        <v>912</v>
      </c>
      <c r="D1789" t="s">
        <v>36</v>
      </c>
      <c r="E1789" t="s">
        <v>36</v>
      </c>
      <c r="F1789" t="s">
        <v>36</v>
      </c>
      <c r="G1789" t="s">
        <v>36</v>
      </c>
      <c r="H1789" t="s">
        <v>917</v>
      </c>
    </row>
    <row r="1790" spans="1:8" x14ac:dyDescent="0.3">
      <c r="A1790" t="s">
        <v>251</v>
      </c>
      <c r="B1790" s="2">
        <v>45870</v>
      </c>
      <c r="C1790" t="s">
        <v>912</v>
      </c>
      <c r="D1790" t="s">
        <v>36</v>
      </c>
      <c r="E1790" t="s">
        <v>36</v>
      </c>
      <c r="F1790" t="s">
        <v>36</v>
      </c>
      <c r="G1790" t="s">
        <v>36</v>
      </c>
      <c r="H1790" t="s">
        <v>917</v>
      </c>
    </row>
    <row r="1791" spans="1:8" x14ac:dyDescent="0.3">
      <c r="A1791" t="s">
        <v>251</v>
      </c>
      <c r="B1791" s="2">
        <v>45901</v>
      </c>
      <c r="C1791" t="s">
        <v>920</v>
      </c>
      <c r="D1791" t="s">
        <v>36</v>
      </c>
      <c r="E1791" t="s">
        <v>36</v>
      </c>
      <c r="F1791" t="s">
        <v>36</v>
      </c>
      <c r="G1791" t="s">
        <v>36</v>
      </c>
      <c r="H1791" t="s">
        <v>917</v>
      </c>
    </row>
    <row r="1792" spans="1:8" x14ac:dyDescent="0.3">
      <c r="A1792" t="s">
        <v>251</v>
      </c>
      <c r="B1792" s="2">
        <v>45931</v>
      </c>
      <c r="C1792" t="s">
        <v>912</v>
      </c>
      <c r="D1792" t="s">
        <v>36</v>
      </c>
      <c r="E1792" t="s">
        <v>36</v>
      </c>
      <c r="F1792" t="s">
        <v>36</v>
      </c>
      <c r="G1792" t="s">
        <v>36</v>
      </c>
      <c r="H1792" t="s">
        <v>917</v>
      </c>
    </row>
    <row r="1793" spans="1:8" x14ac:dyDescent="0.3">
      <c r="A1793" t="s">
        <v>251</v>
      </c>
      <c r="B1793" s="2">
        <v>45962</v>
      </c>
      <c r="C1793" t="s">
        <v>920</v>
      </c>
      <c r="D1793" t="s">
        <v>36</v>
      </c>
      <c r="E1793" t="s">
        <v>36</v>
      </c>
      <c r="F1793" t="s">
        <v>36</v>
      </c>
      <c r="G1793" t="s">
        <v>36</v>
      </c>
      <c r="H1793" t="s">
        <v>917</v>
      </c>
    </row>
    <row r="1794" spans="1:8" x14ac:dyDescent="0.3">
      <c r="A1794" t="s">
        <v>251</v>
      </c>
      <c r="B1794" s="2">
        <v>45992</v>
      </c>
      <c r="C1794" t="s">
        <v>912</v>
      </c>
      <c r="D1794" t="s">
        <v>36</v>
      </c>
      <c r="E1794" t="s">
        <v>36</v>
      </c>
      <c r="F1794" t="s">
        <v>36</v>
      </c>
      <c r="G1794" t="s">
        <v>36</v>
      </c>
      <c r="H1794" t="s">
        <v>917</v>
      </c>
    </row>
    <row r="1795" spans="1:8" x14ac:dyDescent="0.3">
      <c r="A1795" t="s">
        <v>251</v>
      </c>
      <c r="B1795" s="2">
        <v>46023</v>
      </c>
      <c r="C1795" t="s">
        <v>912</v>
      </c>
      <c r="D1795" t="s">
        <v>36</v>
      </c>
      <c r="E1795" t="s">
        <v>36</v>
      </c>
      <c r="F1795" t="s">
        <v>36</v>
      </c>
      <c r="G1795" t="s">
        <v>36</v>
      </c>
      <c r="H1795" t="s">
        <v>917</v>
      </c>
    </row>
    <row r="1796" spans="1:8" x14ac:dyDescent="0.3">
      <c r="A1796" t="s">
        <v>251</v>
      </c>
      <c r="B1796" s="2">
        <v>46054</v>
      </c>
      <c r="C1796" t="s">
        <v>896</v>
      </c>
      <c r="D1796" t="s">
        <v>36</v>
      </c>
      <c r="E1796" t="s">
        <v>36</v>
      </c>
      <c r="F1796" t="s">
        <v>36</v>
      </c>
      <c r="G1796" t="s">
        <v>36</v>
      </c>
      <c r="H1796" t="s">
        <v>917</v>
      </c>
    </row>
    <row r="1797" spans="1:8" x14ac:dyDescent="0.3">
      <c r="A1797" t="s">
        <v>251</v>
      </c>
      <c r="B1797" s="2">
        <v>46082</v>
      </c>
      <c r="C1797" t="s">
        <v>912</v>
      </c>
      <c r="D1797" t="s">
        <v>36</v>
      </c>
      <c r="E1797" t="s">
        <v>36</v>
      </c>
      <c r="F1797" t="s">
        <v>36</v>
      </c>
      <c r="G1797" t="s">
        <v>36</v>
      </c>
      <c r="H1797" t="s">
        <v>917</v>
      </c>
    </row>
    <row r="1798" spans="1:8" x14ac:dyDescent="0.3">
      <c r="A1798" t="s">
        <v>251</v>
      </c>
      <c r="B1798" s="2">
        <v>46113</v>
      </c>
      <c r="C1798" t="s">
        <v>964</v>
      </c>
      <c r="D1798" t="s">
        <v>963</v>
      </c>
      <c r="E1798" t="s">
        <v>917</v>
      </c>
      <c r="F1798" t="s">
        <v>33</v>
      </c>
      <c r="G1798" t="s">
        <v>33</v>
      </c>
      <c r="H1798" t="s">
        <v>36</v>
      </c>
    </row>
    <row r="1799" spans="1:8" x14ac:dyDescent="0.3">
      <c r="A1799" t="s">
        <v>251</v>
      </c>
      <c r="B1799" s="2">
        <v>46143</v>
      </c>
      <c r="C1799" t="s">
        <v>912</v>
      </c>
      <c r="D1799" t="s">
        <v>33</v>
      </c>
      <c r="E1799" t="s">
        <v>33</v>
      </c>
      <c r="F1799" t="s">
        <v>33</v>
      </c>
      <c r="G1799" t="s">
        <v>944</v>
      </c>
      <c r="H1799" t="s">
        <v>36</v>
      </c>
    </row>
    <row r="1800" spans="1:8" ht="28.8" x14ac:dyDescent="0.3">
      <c r="A1800" t="s">
        <v>251</v>
      </c>
      <c r="B1800" s="2">
        <v>46174</v>
      </c>
      <c r="C1800" t="s">
        <v>920</v>
      </c>
      <c r="D1800">
        <v>0</v>
      </c>
      <c r="E1800" t="s">
        <v>33</v>
      </c>
      <c r="F1800" t="s">
        <v>33</v>
      </c>
      <c r="G1800" s="10" t="s">
        <v>997</v>
      </c>
      <c r="H1800" t="s">
        <v>36</v>
      </c>
    </row>
    <row r="1801" spans="1:8" x14ac:dyDescent="0.3">
      <c r="A1801" t="s">
        <v>251</v>
      </c>
      <c r="B1801" s="2">
        <v>46204</v>
      </c>
    </row>
    <row r="1802" spans="1:8" x14ac:dyDescent="0.3">
      <c r="A1802" t="s">
        <v>251</v>
      </c>
      <c r="B1802" s="2">
        <v>46235</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F2813" sqref="F2813"/>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269</v>
      </c>
      <c r="B1" t="s">
        <v>267</v>
      </c>
      <c r="C1" t="s">
        <v>273</v>
      </c>
      <c r="D1" t="s">
        <v>274</v>
      </c>
      <c r="E1" t="s">
        <v>275</v>
      </c>
      <c r="F1" t="s">
        <v>276</v>
      </c>
    </row>
    <row r="2" spans="1:6"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65" si="0">IF(OR(C2="",D2="",D2=0),"",C2/D2)</f>
        <v>0.76562895469501391</v>
      </c>
      <c r="F2" t="str">
        <f t="shared" ref="F2:F65" si="1">IF(E2="","",IF(E2&gt;=0.9,"Expected",IF(E2&gt;=0.7,"Moderate","Poor")))</f>
        <v>Moderate</v>
      </c>
    </row>
    <row r="3" spans="1:6"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6"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6"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6"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6"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6"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6"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6"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6"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6"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6"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6"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6"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6"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6"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6"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6"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6"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6"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6"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6"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6"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6"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6"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6"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6"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6"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6"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6" ht="15"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6" ht="15" hidden="1" customHeight="1" x14ac:dyDescent="0.3">
      <c r="A32" t="s">
        <v>31</v>
      </c>
      <c r="B32" s="2">
        <v>46204</v>
      </c>
      <c r="C32" cm="1">
        <f t="array" ref="C32">IFERROR(IF(SUMPRODUCT((measured[Site Name]=A32)*(measured[Date]=B32)*ISNUMBER(measured[Measured Value (kWh)]))=0,"",SUMIFS(measured[Measured Value (kWh)],measured[Site Name],A32,measured[Date],B32)),"")</f>
        <v>2300</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si="0"/>
        <v>1.2676366843033509</v>
      </c>
      <c r="F32" t="str">
        <f t="shared" si="1"/>
        <v>Expected</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0"/>
        <v/>
      </c>
      <c r="F33" t="str">
        <f t="shared" si="1"/>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0"/>
        <v/>
      </c>
      <c r="F34" t="str">
        <f t="shared" si="1"/>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0"/>
        <v/>
      </c>
      <c r="F35" t="str">
        <f t="shared" si="1"/>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0"/>
        <v/>
      </c>
      <c r="F36" t="str">
        <f t="shared" si="1"/>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0"/>
        <v/>
      </c>
      <c r="F37" t="str">
        <f t="shared" si="1"/>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0"/>
        <v>1.0225660483111827</v>
      </c>
      <c r="F38" t="str">
        <f t="shared" si="1"/>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0"/>
        <v>1.1743074567891749</v>
      </c>
      <c r="F39" t="str">
        <f t="shared" si="1"/>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0"/>
        <v>1.1531933056719144</v>
      </c>
      <c r="F40" t="str">
        <f t="shared" si="1"/>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0"/>
        <v>1.1516329662765459</v>
      </c>
      <c r="F41" t="str">
        <f t="shared" si="1"/>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0"/>
        <v>1.153136141501788</v>
      </c>
      <c r="F42" t="str">
        <f t="shared" si="1"/>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0"/>
        <v>1.1100972283414805</v>
      </c>
      <c r="F43" t="str">
        <f t="shared" si="1"/>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0"/>
        <v>1.0796053349124461</v>
      </c>
      <c r="F44" t="str">
        <f t="shared" si="1"/>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0"/>
        <v>0.73340164669935515</v>
      </c>
      <c r="F45" t="str">
        <f t="shared" si="1"/>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0"/>
        <v>0.99263220291178322</v>
      </c>
      <c r="F46" t="str">
        <f t="shared" si="1"/>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0"/>
        <v>1.2406891194077594</v>
      </c>
      <c r="F47" t="str">
        <f t="shared" si="1"/>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0"/>
        <v>1.0675084416912199</v>
      </c>
      <c r="F48" t="str">
        <f t="shared" si="1"/>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0"/>
        <v>1.0545889401477879</v>
      </c>
      <c r="F49" t="str">
        <f t="shared" si="1"/>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0"/>
        <v>0.99658441443948187</v>
      </c>
      <c r="F50" t="str">
        <f t="shared" si="1"/>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0"/>
        <v>0.74749331981544642</v>
      </c>
      <c r="F51" t="str">
        <f t="shared" si="1"/>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0"/>
        <v>0.7628893609418117</v>
      </c>
      <c r="F52" t="str">
        <f t="shared" si="1"/>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0"/>
        <v>0.83090315534429393</v>
      </c>
      <c r="F53" t="str">
        <f t="shared" si="1"/>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0"/>
        <v>0.95560413333379246</v>
      </c>
      <c r="F54" t="str">
        <f t="shared" si="1"/>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0"/>
        <v>0.81589675378866189</v>
      </c>
      <c r="F55" t="str">
        <f t="shared" si="1"/>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0"/>
        <v>0.20172665190020031</v>
      </c>
      <c r="F56" t="str">
        <f t="shared" si="1"/>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0"/>
        <v>0.60143468863489213</v>
      </c>
      <c r="F57" t="str">
        <f t="shared" si="1"/>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0"/>
        <v>0.56375275155990134</v>
      </c>
      <c r="F58" t="str">
        <f t="shared" si="1"/>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0"/>
        <v>0.57596863175192847</v>
      </c>
      <c r="F59" t="str">
        <f t="shared" si="1"/>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0"/>
        <v>0.51144138061642497</v>
      </c>
      <c r="F60" t="str">
        <f t="shared" si="1"/>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0"/>
        <v>0.51341608635046243</v>
      </c>
      <c r="F61" t="str">
        <f t="shared" si="1"/>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0"/>
        <v>0.62298184327922868</v>
      </c>
      <c r="F62" t="str">
        <f t="shared" si="1"/>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0"/>
        <v>0.61967651076789643</v>
      </c>
      <c r="F63" t="str">
        <f t="shared" si="1"/>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0"/>
        <v>0.53542713069027814</v>
      </c>
      <c r="F64" t="str">
        <f t="shared" si="1"/>
        <v>Poor</v>
      </c>
    </row>
    <row r="65" spans="1:6"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0"/>
        <v>0.56022377719149963</v>
      </c>
      <c r="F65" t="str">
        <f t="shared" si="1"/>
        <v>Poor</v>
      </c>
    </row>
    <row r="66" spans="1:6"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ref="E66:E129" si="2">IF(OR(C66="",D66="",D66=0),"",C66/D66)</f>
        <v>0.71536639370101418</v>
      </c>
      <c r="F66" t="str">
        <f t="shared" ref="F66:F129" si="3">IF(E66="","",IF(E66&gt;=0.9,"Expected",IF(E66&gt;=0.7,"Moderate","Poor")))</f>
        <v>Moderate</v>
      </c>
    </row>
    <row r="67" spans="1:6"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6" ht="15" hidden="1" customHeight="1" x14ac:dyDescent="0.3">
      <c r="A68" t="s">
        <v>43</v>
      </c>
      <c r="B68" s="2">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t="str">
        <f t="shared" si="2"/>
        <v/>
      </c>
      <c r="F68" t="str">
        <f t="shared" si="3"/>
        <v/>
      </c>
    </row>
    <row r="69" spans="1:6"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6"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6"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6"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6"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6"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6"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6"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6"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6"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6"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6"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si="2"/>
        <v>0.83882875036290494</v>
      </c>
      <c r="F96" t="str">
        <f t="shared" si="3"/>
        <v>Moderate</v>
      </c>
    </row>
    <row r="97" spans="1:6"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2"/>
        <v>0.89009593973070278</v>
      </c>
      <c r="F97" t="str">
        <f t="shared" si="3"/>
        <v>Moderate</v>
      </c>
    </row>
    <row r="98" spans="1:6"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2"/>
        <v>0.63959179423096946</v>
      </c>
      <c r="F98" t="str">
        <f t="shared" si="3"/>
        <v>Poor</v>
      </c>
    </row>
    <row r="99" spans="1:6"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2"/>
        <v>0.7000789999535294</v>
      </c>
      <c r="F99" t="str">
        <f t="shared" si="3"/>
        <v>Moderate</v>
      </c>
    </row>
    <row r="100" spans="1:6"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2"/>
        <v>0.51492553729734492</v>
      </c>
      <c r="F100" t="str">
        <f t="shared" si="3"/>
        <v>Poor</v>
      </c>
    </row>
    <row r="101" spans="1:6"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2"/>
        <v>0.32586531592960583</v>
      </c>
      <c r="F101" t="str">
        <f t="shared" si="3"/>
        <v>Poor</v>
      </c>
    </row>
    <row r="102" spans="1:6"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2"/>
        <v>0.2939585211902615</v>
      </c>
      <c r="F102" t="str">
        <f t="shared" si="3"/>
        <v>Poor</v>
      </c>
    </row>
    <row r="103" spans="1:6"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2"/>
        <v>0.58338058338058341</v>
      </c>
      <c r="F103" t="str">
        <f t="shared" si="3"/>
        <v>Poor</v>
      </c>
    </row>
    <row r="104" spans="1:6" ht="15" hidden="1" customHeight="1" x14ac:dyDescent="0.3">
      <c r="A104" t="s">
        <v>49</v>
      </c>
      <c r="B104" s="2">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t="str">
        <f t="shared" si="2"/>
        <v/>
      </c>
      <c r="F104" t="str">
        <f t="shared" si="3"/>
        <v/>
      </c>
    </row>
    <row r="105" spans="1:6"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2"/>
        <v/>
      </c>
      <c r="F105" t="str">
        <f t="shared" si="3"/>
        <v/>
      </c>
    </row>
    <row r="106" spans="1:6"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2"/>
        <v/>
      </c>
      <c r="F106" t="str">
        <f t="shared" si="3"/>
        <v/>
      </c>
    </row>
    <row r="107" spans="1:6"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2"/>
        <v/>
      </c>
      <c r="F107" t="str">
        <f t="shared" si="3"/>
        <v/>
      </c>
    </row>
    <row r="108" spans="1:6"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2"/>
        <v/>
      </c>
      <c r="F108" t="str">
        <f t="shared" si="3"/>
        <v/>
      </c>
    </row>
    <row r="109" spans="1:6"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2"/>
        <v/>
      </c>
      <c r="F109" t="str">
        <f t="shared" si="3"/>
        <v/>
      </c>
    </row>
    <row r="110" spans="1:6"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2"/>
        <v/>
      </c>
      <c r="F110" t="str">
        <f t="shared" si="3"/>
        <v/>
      </c>
    </row>
    <row r="111" spans="1:6"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2"/>
        <v/>
      </c>
      <c r="F111" t="str">
        <f t="shared" si="3"/>
        <v/>
      </c>
    </row>
    <row r="112" spans="1:6"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2"/>
        <v/>
      </c>
      <c r="F112" t="str">
        <f t="shared" si="3"/>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2"/>
        <v/>
      </c>
      <c r="F113" t="str">
        <f t="shared" si="3"/>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2"/>
        <v/>
      </c>
      <c r="F114" t="str">
        <f t="shared" si="3"/>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2"/>
        <v/>
      </c>
      <c r="F115" t="str">
        <f t="shared" si="3"/>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2"/>
        <v/>
      </c>
      <c r="F116" t="str">
        <f t="shared" si="3"/>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2"/>
        <v/>
      </c>
      <c r="F117" t="str">
        <f t="shared" si="3"/>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2"/>
        <v/>
      </c>
      <c r="F118" t="str">
        <f t="shared" si="3"/>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2"/>
        <v/>
      </c>
      <c r="F119" t="str">
        <f t="shared" si="3"/>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2"/>
        <v/>
      </c>
      <c r="F120" t="str">
        <f t="shared" si="3"/>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2"/>
        <v/>
      </c>
      <c r="F121" t="str">
        <f t="shared" si="3"/>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2"/>
        <v>0.72381092586458595</v>
      </c>
      <c r="F122" t="str">
        <f t="shared" si="3"/>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2"/>
        <v>0.59114594131387266</v>
      </c>
      <c r="F123" t="str">
        <f t="shared" si="3"/>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2"/>
        <v>0.67412872042737215</v>
      </c>
      <c r="F124" t="str">
        <f t="shared" si="3"/>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2"/>
        <v>0.58648733187363145</v>
      </c>
      <c r="F125" t="str">
        <f t="shared" si="3"/>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2"/>
        <v>0.6465350367789392</v>
      </c>
      <c r="F126" t="str">
        <f t="shared" si="3"/>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2"/>
        <v>0.50134737105972293</v>
      </c>
      <c r="F127" t="str">
        <f t="shared" si="3"/>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2"/>
        <v>0.40463398253861654</v>
      </c>
      <c r="F128" t="str">
        <f t="shared" si="3"/>
        <v>Poor</v>
      </c>
    </row>
    <row r="129" spans="1:6"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2"/>
        <v>0.15222379380795223</v>
      </c>
      <c r="F129" t="str">
        <f t="shared" si="3"/>
        <v>Poor</v>
      </c>
    </row>
    <row r="130" spans="1:6"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ref="E130:E193" si="4">IF(OR(C130="",D130="",D130=0),"",C130/D130)</f>
        <v>0.27725830805247337</v>
      </c>
      <c r="F130" t="str">
        <f t="shared" ref="F130:F193" si="5">IF(E130="","",IF(E130&gt;=0.9,"Expected",IF(E130&gt;=0.7,"Moderate","Poor")))</f>
        <v>Poor</v>
      </c>
    </row>
    <row r="131" spans="1:6"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6"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6"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6"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6"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6"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6"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6"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6"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6" ht="15" hidden="1" customHeight="1" x14ac:dyDescent="0.3">
      <c r="A140" t="s">
        <v>64</v>
      </c>
      <c r="B140" s="2">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9" t="str">
        <f t="shared" si="4"/>
        <v/>
      </c>
      <c r="F140" t="str">
        <f t="shared" si="5"/>
        <v/>
      </c>
    </row>
    <row r="141" spans="1:6"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6"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6"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6"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si="4"/>
        <v>0.82389156190180557</v>
      </c>
      <c r="F160" t="str">
        <f t="shared" si="5"/>
        <v>Moderate</v>
      </c>
    </row>
    <row r="161" spans="1:6"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4"/>
        <v>0.61581144763049978</v>
      </c>
      <c r="F161" t="str">
        <f t="shared" si="5"/>
        <v>Poor</v>
      </c>
    </row>
    <row r="162" spans="1:6"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4"/>
        <v>0.6682047634742484</v>
      </c>
      <c r="F162" t="str">
        <f t="shared" si="5"/>
        <v>Poor</v>
      </c>
    </row>
    <row r="163" spans="1:6"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4"/>
        <v>0.69589311918345154</v>
      </c>
      <c r="F163" t="str">
        <f t="shared" si="5"/>
        <v>Poor</v>
      </c>
    </row>
    <row r="164" spans="1:6"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4"/>
        <v>0.68801578431979271</v>
      </c>
      <c r="F164" t="str">
        <f t="shared" si="5"/>
        <v>Poor</v>
      </c>
    </row>
    <row r="165" spans="1:6"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4"/>
        <v>0.6967358625160015</v>
      </c>
      <c r="F165" t="str">
        <f t="shared" si="5"/>
        <v>Poor</v>
      </c>
    </row>
    <row r="166" spans="1:6"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4"/>
        <v>0.55632057284494629</v>
      </c>
      <c r="F166" t="str">
        <f t="shared" si="5"/>
        <v>Poor</v>
      </c>
    </row>
    <row r="167" spans="1:6"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4"/>
        <v>0.61248393375816801</v>
      </c>
      <c r="F167" t="str">
        <f t="shared" si="5"/>
        <v>Poor</v>
      </c>
    </row>
    <row r="168" spans="1:6"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4"/>
        <v>0.70646756012833734</v>
      </c>
      <c r="F168" t="str">
        <f t="shared" si="5"/>
        <v>Moderate</v>
      </c>
    </row>
    <row r="169" spans="1:6"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4"/>
        <v>0.84380271445594812</v>
      </c>
      <c r="F169" t="str">
        <f t="shared" si="5"/>
        <v>Moderate</v>
      </c>
    </row>
    <row r="170" spans="1:6"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4"/>
        <v>0.69461696449434884</v>
      </c>
      <c r="F170" t="str">
        <f t="shared" si="5"/>
        <v>Poor</v>
      </c>
    </row>
    <row r="171" spans="1:6"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4"/>
        <v>0.80374500580906927</v>
      </c>
      <c r="F171" t="str">
        <f t="shared" si="5"/>
        <v>Moderate</v>
      </c>
    </row>
    <row r="172" spans="1:6"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4"/>
        <v>0.68730922448134923</v>
      </c>
      <c r="F172" t="str">
        <f t="shared" si="5"/>
        <v>Poor</v>
      </c>
    </row>
    <row r="173" spans="1:6"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4"/>
        <v>0.57377141686343935</v>
      </c>
      <c r="F173" t="str">
        <f t="shared" si="5"/>
        <v>Poor</v>
      </c>
    </row>
    <row r="174" spans="1:6"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4"/>
        <v>0.66359810571235278</v>
      </c>
      <c r="F174" t="str">
        <f t="shared" si="5"/>
        <v>Poor</v>
      </c>
    </row>
    <row r="175" spans="1:6"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4"/>
        <v>0.61058540005593853</v>
      </c>
      <c r="F175" t="str">
        <f t="shared" si="5"/>
        <v>Poor</v>
      </c>
    </row>
    <row r="176" spans="1:6" ht="15" hidden="1" customHeight="1" x14ac:dyDescent="0.3">
      <c r="A176" t="s">
        <v>55</v>
      </c>
      <c r="B176" s="2">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t="str">
        <f t="shared" si="4"/>
        <v/>
      </c>
      <c r="F176" t="str">
        <f t="shared" si="5"/>
        <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4"/>
        <v/>
      </c>
      <c r="F177" t="str">
        <f t="shared" si="5"/>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4"/>
        <v/>
      </c>
      <c r="F178" t="str">
        <f t="shared" si="5"/>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4"/>
        <v/>
      </c>
      <c r="F179" t="str">
        <f t="shared" si="5"/>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4"/>
        <v/>
      </c>
      <c r="F180" t="str">
        <f t="shared" si="5"/>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4"/>
        <v/>
      </c>
      <c r="F181" t="str">
        <f t="shared" si="5"/>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4"/>
        <v>1.0718169023152297</v>
      </c>
      <c r="F182" t="str">
        <f t="shared" si="5"/>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4"/>
        <v>1.0611226348203917</v>
      </c>
      <c r="F183" t="str">
        <f t="shared" si="5"/>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4"/>
        <v>0.83263454619587596</v>
      </c>
      <c r="F184" t="str">
        <f t="shared" si="5"/>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4"/>
        <v>0.84557279625018478</v>
      </c>
      <c r="F185" t="str">
        <f t="shared" si="5"/>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4"/>
        <v>0.87234767844836247</v>
      </c>
      <c r="F186" t="str">
        <f t="shared" si="5"/>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4"/>
        <v>0.86405882098619458</v>
      </c>
      <c r="F187" t="str">
        <f t="shared" si="5"/>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4"/>
        <v>0.88820483408439466</v>
      </c>
      <c r="F188" t="str">
        <f t="shared" si="5"/>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4"/>
        <v>0.79877343091736641</v>
      </c>
      <c r="F189" t="str">
        <f t="shared" si="5"/>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4"/>
        <v>0.77736115873713563</v>
      </c>
      <c r="F190" t="str">
        <f t="shared" si="5"/>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4"/>
        <v>1.0195317752812894</v>
      </c>
      <c r="F191" t="str">
        <f t="shared" si="5"/>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4"/>
        <v>1.0387061263751556</v>
      </c>
      <c r="F192" t="str">
        <f t="shared" si="5"/>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4"/>
        <v>0.8715981154137612</v>
      </c>
      <c r="F193" t="str">
        <f t="shared" si="5"/>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ref="E194:E257" si="6">IF(OR(C194="",D194="",D194=0),"",C194/D194)</f>
        <v>1.0184599081599734</v>
      </c>
      <c r="F194" t="str">
        <f t="shared" ref="F194:F257" si="7">IF(E194="","",IF(E194&gt;=0.9,"Expected",IF(E194&gt;=0.7,"Moderate","Poor")))</f>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6"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6"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6"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6" ht="15" hidden="1" customHeight="1" x14ac:dyDescent="0.3">
      <c r="A212" t="s">
        <v>60</v>
      </c>
      <c r="B212" s="2">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t="str">
        <f t="shared" si="6"/>
        <v/>
      </c>
      <c r="F212" t="str">
        <f t="shared" si="7"/>
        <v/>
      </c>
    </row>
    <row r="213" spans="1:6"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6"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6"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6"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6"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6"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6"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6"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6"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6"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6"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6"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si="6"/>
        <v>0.76553992128955739</v>
      </c>
      <c r="F224" t="str">
        <f t="shared" si="7"/>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6"/>
        <v>0.78973077033589056</v>
      </c>
      <c r="F225" t="str">
        <f t="shared" si="7"/>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6"/>
        <v>0.29063268499888217</v>
      </c>
      <c r="F226" t="str">
        <f t="shared" si="7"/>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6"/>
        <v>0.72471453317778489</v>
      </c>
      <c r="F227" t="str">
        <f t="shared" si="7"/>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6"/>
        <v>0.52700300470369843</v>
      </c>
      <c r="F228" t="str">
        <f t="shared" si="7"/>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6"/>
        <v>0.58361973931651645</v>
      </c>
      <c r="F229" t="str">
        <f t="shared" si="7"/>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6"/>
        <v>0.71806253671910703</v>
      </c>
      <c r="F230" t="str">
        <f t="shared" si="7"/>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6"/>
        <v>0.80987341326431805</v>
      </c>
      <c r="F231" t="str">
        <f t="shared" si="7"/>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6"/>
        <v>0.41172686333976655</v>
      </c>
      <c r="F232" t="str">
        <f t="shared" si="7"/>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6"/>
        <v>0.52323650392171894</v>
      </c>
      <c r="F233" t="str">
        <f t="shared" si="7"/>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6"/>
        <v>0.56907701352145801</v>
      </c>
      <c r="F234" t="str">
        <f t="shared" si="7"/>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6"/>
        <v>0.44640534262485482</v>
      </c>
      <c r="F235" t="str">
        <f t="shared" si="7"/>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6"/>
        <v>0.52455657986953474</v>
      </c>
      <c r="F236" t="str">
        <f t="shared" si="7"/>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6"/>
        <v>0.76933023015257307</v>
      </c>
      <c r="F237" t="str">
        <f t="shared" si="7"/>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6"/>
        <v>0.96132349653476412</v>
      </c>
      <c r="F238" t="str">
        <f t="shared" si="7"/>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6"/>
        <v>0.93673772404284661</v>
      </c>
      <c r="F239" t="str">
        <f t="shared" si="7"/>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6"/>
        <v>0.98864190539116215</v>
      </c>
      <c r="F240" t="str">
        <f t="shared" si="7"/>
        <v>Expected</v>
      </c>
    </row>
    <row r="241" spans="1:6"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6"/>
        <v>0.97788729654367423</v>
      </c>
      <c r="F241" t="str">
        <f t="shared" si="7"/>
        <v>Expected</v>
      </c>
    </row>
    <row r="242" spans="1:6"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6"/>
        <v>0.97308353460843833</v>
      </c>
      <c r="F242" t="str">
        <f t="shared" si="7"/>
        <v>Expected</v>
      </c>
    </row>
    <row r="243" spans="1:6"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6"/>
        <v>0.88330578003133864</v>
      </c>
      <c r="F243" t="str">
        <f t="shared" si="7"/>
        <v>Moderate</v>
      </c>
    </row>
    <row r="244" spans="1:6"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6"/>
        <v>0.95579450418160095</v>
      </c>
      <c r="F244" t="str">
        <f t="shared" si="7"/>
        <v>Expected</v>
      </c>
    </row>
    <row r="245" spans="1:6"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6"/>
        <v>0.93822334636314864</v>
      </c>
      <c r="F245" t="str">
        <f t="shared" si="7"/>
        <v>Expected</v>
      </c>
    </row>
    <row r="246" spans="1:6"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6"/>
        <v>0.92532123960695378</v>
      </c>
      <c r="F246" t="str">
        <f t="shared" si="7"/>
        <v>Expected</v>
      </c>
    </row>
    <row r="247" spans="1:6"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6"/>
        <v>0.97372241579558649</v>
      </c>
      <c r="F247" t="str">
        <f t="shared" si="7"/>
        <v>Expected</v>
      </c>
    </row>
    <row r="248" spans="1:6" ht="15" hidden="1" customHeight="1" x14ac:dyDescent="0.3">
      <c r="A248" t="s">
        <v>61</v>
      </c>
      <c r="B248" s="2">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t="str">
        <f t="shared" si="6"/>
        <v/>
      </c>
      <c r="F248" t="str">
        <f t="shared" si="7"/>
        <v/>
      </c>
    </row>
    <row r="249" spans="1:6"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6"/>
        <v/>
      </c>
      <c r="F249" t="str">
        <f t="shared" si="7"/>
        <v/>
      </c>
    </row>
    <row r="250" spans="1:6"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6"/>
        <v/>
      </c>
      <c r="F250" t="str">
        <f t="shared" si="7"/>
        <v/>
      </c>
    </row>
    <row r="251" spans="1:6"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6"/>
        <v/>
      </c>
      <c r="F251" t="str">
        <f t="shared" si="7"/>
        <v/>
      </c>
    </row>
    <row r="252" spans="1:6"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6"/>
        <v/>
      </c>
      <c r="F252" t="str">
        <f t="shared" si="7"/>
        <v/>
      </c>
    </row>
    <row r="253" spans="1:6"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6"/>
        <v/>
      </c>
      <c r="F253" t="str">
        <f t="shared" si="7"/>
        <v/>
      </c>
    </row>
    <row r="254" spans="1:6"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6"/>
        <v/>
      </c>
      <c r="F254" t="str">
        <f t="shared" si="7"/>
        <v/>
      </c>
    </row>
    <row r="255" spans="1:6"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6"/>
        <v/>
      </c>
      <c r="F255" t="str">
        <f t="shared" si="7"/>
        <v/>
      </c>
    </row>
    <row r="256" spans="1:6"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6"/>
        <v/>
      </c>
      <c r="F256" t="str">
        <f t="shared" si="7"/>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6"/>
        <v/>
      </c>
      <c r="F257" t="str">
        <f t="shared" si="7"/>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ref="E258:E321" si="8">IF(OR(C258="",D258="",D258=0),"",C258/D258)</f>
        <v/>
      </c>
      <c r="F258" t="str">
        <f t="shared" ref="F258:F321" si="9">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6"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6"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6"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6"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6"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6"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6"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6"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6"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6"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6"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6" ht="15" hidden="1" customHeight="1" x14ac:dyDescent="0.3">
      <c r="A284" t="s">
        <v>66</v>
      </c>
      <c r="B284" s="2">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9" t="str">
        <f t="shared" si="8"/>
        <v/>
      </c>
      <c r="F284" t="str">
        <f t="shared" si="9"/>
        <v/>
      </c>
    </row>
    <row r="285" spans="1:6"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6"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6"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6"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si="8"/>
        <v/>
      </c>
      <c r="F288" t="str">
        <f t="shared" si="9"/>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8"/>
        <v/>
      </c>
      <c r="F289" t="str">
        <f t="shared" si="9"/>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8"/>
        <v/>
      </c>
      <c r="F290" t="str">
        <f t="shared" si="9"/>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8"/>
        <v/>
      </c>
      <c r="F291" t="str">
        <f t="shared" si="9"/>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8"/>
        <v/>
      </c>
      <c r="F292" t="str">
        <f t="shared" si="9"/>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8"/>
        <v/>
      </c>
      <c r="F293" t="str">
        <f t="shared" si="9"/>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8"/>
        <v/>
      </c>
      <c r="F294" t="str">
        <f t="shared" si="9"/>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8"/>
        <v/>
      </c>
      <c r="F295" t="str">
        <f t="shared" si="9"/>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8"/>
        <v/>
      </c>
      <c r="F296" t="str">
        <f t="shared" si="9"/>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8"/>
        <v/>
      </c>
      <c r="F297" t="str">
        <f t="shared" si="9"/>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8"/>
        <v/>
      </c>
      <c r="F298" t="str">
        <f t="shared" si="9"/>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8"/>
        <v/>
      </c>
      <c r="F299" t="str">
        <f t="shared" si="9"/>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8"/>
        <v/>
      </c>
      <c r="F300" t="str">
        <f t="shared" si="9"/>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8"/>
        <v/>
      </c>
      <c r="F301" t="str">
        <f t="shared" si="9"/>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8"/>
        <v>1.1652522527585756</v>
      </c>
      <c r="F302" t="str">
        <f t="shared" si="9"/>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8"/>
        <v>1.1211716679242363</v>
      </c>
      <c r="F303" t="str">
        <f t="shared" si="9"/>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8"/>
        <v>1.0369640511166844</v>
      </c>
      <c r="F304" t="str">
        <f t="shared" si="9"/>
        <v>Expected</v>
      </c>
    </row>
    <row r="305" spans="1:6"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8"/>
        <v>1.0208517536103743</v>
      </c>
      <c r="F305" t="str">
        <f t="shared" si="9"/>
        <v>Expected</v>
      </c>
    </row>
    <row r="306" spans="1:6"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8"/>
        <v>1.1256833026355695</v>
      </c>
      <c r="F306" t="str">
        <f t="shared" si="9"/>
        <v>Expected</v>
      </c>
    </row>
    <row r="307" spans="1:6"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8"/>
        <v>1.0472915455089467</v>
      </c>
      <c r="F307" t="str">
        <f t="shared" si="9"/>
        <v>Expected</v>
      </c>
    </row>
    <row r="308" spans="1:6"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8"/>
        <v>0.9747518231523794</v>
      </c>
      <c r="F308" t="str">
        <f t="shared" si="9"/>
        <v>Expected</v>
      </c>
    </row>
    <row r="309" spans="1:6"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8"/>
        <v>0.99088199193406978</v>
      </c>
      <c r="F309" t="str">
        <f t="shared" si="9"/>
        <v>Expected</v>
      </c>
    </row>
    <row r="310" spans="1:6"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8"/>
        <v>0.99284344785867351</v>
      </c>
      <c r="F310" t="str">
        <f t="shared" si="9"/>
        <v>Expected</v>
      </c>
    </row>
    <row r="311" spans="1:6"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8"/>
        <v>1.065066254728773</v>
      </c>
      <c r="F311" t="str">
        <f t="shared" si="9"/>
        <v>Expected</v>
      </c>
    </row>
    <row r="312" spans="1:6"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8"/>
        <v>1.0304217169961452</v>
      </c>
      <c r="F312" t="str">
        <f t="shared" si="9"/>
        <v>Expected</v>
      </c>
    </row>
    <row r="313" spans="1:6"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8"/>
        <v>1.0819249304282903</v>
      </c>
      <c r="F313" t="str">
        <f t="shared" si="9"/>
        <v>Expected</v>
      </c>
    </row>
    <row r="314" spans="1:6"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8"/>
        <v>1.1284212892710617</v>
      </c>
      <c r="F314" t="str">
        <f t="shared" si="9"/>
        <v>Expected</v>
      </c>
    </row>
    <row r="315" spans="1:6"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8"/>
        <v>1.068160272408923</v>
      </c>
      <c r="F315" t="str">
        <f t="shared" si="9"/>
        <v>Expected</v>
      </c>
    </row>
    <row r="316" spans="1:6"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8"/>
        <v>1.1047911939169552</v>
      </c>
      <c r="F316" t="str">
        <f t="shared" si="9"/>
        <v>Expected</v>
      </c>
    </row>
    <row r="317" spans="1:6"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8"/>
        <v>1.0229823656547796</v>
      </c>
      <c r="F317" t="str">
        <f t="shared" si="9"/>
        <v>Expected</v>
      </c>
    </row>
    <row r="318" spans="1:6"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8"/>
        <v>0.98915518274415826</v>
      </c>
      <c r="F318" t="str">
        <f t="shared" si="9"/>
        <v>Expected</v>
      </c>
    </row>
    <row r="319" spans="1:6"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8"/>
        <v>0.82292009068918726</v>
      </c>
      <c r="F319" t="str">
        <f t="shared" si="9"/>
        <v>Moderate</v>
      </c>
    </row>
    <row r="320" spans="1:6" ht="15" hidden="1" customHeight="1" x14ac:dyDescent="0.3">
      <c r="A320" t="s">
        <v>71</v>
      </c>
      <c r="B320" s="2">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9" t="str">
        <f t="shared" si="8"/>
        <v/>
      </c>
      <c r="F320" t="str">
        <f t="shared" si="9"/>
        <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8"/>
        <v/>
      </c>
      <c r="F321" t="str">
        <f t="shared" si="9"/>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ref="E322:E385" si="10">IF(OR(C322="",D322="",D322=0),"",C322/D322)</f>
        <v/>
      </c>
      <c r="F322" t="str">
        <f t="shared" ref="F322:F385" si="11">IF(E322="","",IF(E322&gt;=0.9,"Expected",IF(E322&gt;=0.7,"Moderate","Poor")))</f>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si="10"/>
        <v>0.95273871549044276</v>
      </c>
      <c r="F352" t="str">
        <f t="shared" si="11"/>
        <v>Expected</v>
      </c>
    </row>
    <row r="353" spans="1:6"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0"/>
        <v>1.0196109588315523</v>
      </c>
      <c r="F353" t="str">
        <f t="shared" si="11"/>
        <v>Expected</v>
      </c>
    </row>
    <row r="354" spans="1:6"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0"/>
        <v>1.105095541401274</v>
      </c>
      <c r="F354" t="str">
        <f t="shared" si="11"/>
        <v>Expected</v>
      </c>
    </row>
    <row r="355" spans="1:6"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0"/>
        <v>0.98048859728363369</v>
      </c>
      <c r="F355" t="str">
        <f t="shared" si="11"/>
        <v>Expected</v>
      </c>
    </row>
    <row r="356" spans="1:6" ht="15" hidden="1" customHeight="1" x14ac:dyDescent="0.3">
      <c r="A356" t="s">
        <v>77</v>
      </c>
      <c r="B356" s="2">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9" t="str">
        <f t="shared" si="10"/>
        <v/>
      </c>
      <c r="F356" t="str">
        <f t="shared" si="11"/>
        <v/>
      </c>
    </row>
    <row r="357" spans="1:6"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0"/>
        <v/>
      </c>
      <c r="F357" t="str">
        <f t="shared" si="11"/>
        <v/>
      </c>
    </row>
    <row r="358" spans="1:6"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0"/>
        <v/>
      </c>
      <c r="F358" t="str">
        <f t="shared" si="11"/>
        <v/>
      </c>
    </row>
    <row r="359" spans="1:6"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0"/>
        <v/>
      </c>
      <c r="F359" t="str">
        <f t="shared" si="11"/>
        <v/>
      </c>
    </row>
    <row r="360" spans="1:6"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0"/>
        <v/>
      </c>
      <c r="F360" t="str">
        <f t="shared" si="11"/>
        <v/>
      </c>
    </row>
    <row r="361" spans="1:6"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0"/>
        <v/>
      </c>
      <c r="F361" t="str">
        <f t="shared" si="11"/>
        <v/>
      </c>
    </row>
    <row r="362" spans="1:6"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0"/>
        <v/>
      </c>
      <c r="F362" t="str">
        <f t="shared" si="11"/>
        <v/>
      </c>
    </row>
    <row r="363" spans="1:6"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0"/>
        <v/>
      </c>
      <c r="F363" t="str">
        <f t="shared" si="11"/>
        <v/>
      </c>
    </row>
    <row r="364" spans="1:6"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0"/>
        <v/>
      </c>
      <c r="F364" t="str">
        <f t="shared" si="11"/>
        <v/>
      </c>
    </row>
    <row r="365" spans="1:6"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0"/>
        <v/>
      </c>
      <c r="F365" t="str">
        <f t="shared" si="11"/>
        <v/>
      </c>
    </row>
    <row r="366" spans="1:6"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0"/>
        <v/>
      </c>
      <c r="F366" t="str">
        <f t="shared" si="11"/>
        <v/>
      </c>
    </row>
    <row r="367" spans="1:6"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0"/>
        <v/>
      </c>
      <c r="F367" t="str">
        <f t="shared" si="11"/>
        <v/>
      </c>
    </row>
    <row r="368" spans="1:6"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0"/>
        <v/>
      </c>
      <c r="F368" t="str">
        <f t="shared" si="11"/>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0"/>
        <v/>
      </c>
      <c r="F369" t="str">
        <f t="shared" si="11"/>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0"/>
        <v/>
      </c>
      <c r="F370" t="str">
        <f t="shared" si="11"/>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0"/>
        <v/>
      </c>
      <c r="F371" t="str">
        <f t="shared" si="11"/>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0"/>
        <v/>
      </c>
      <c r="F372" t="str">
        <f t="shared" si="11"/>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0"/>
        <v/>
      </c>
      <c r="F373" t="str">
        <f t="shared" si="11"/>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0"/>
        <v/>
      </c>
      <c r="F374" t="str">
        <f t="shared" si="11"/>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0"/>
        <v/>
      </c>
      <c r="F375" t="str">
        <f t="shared" si="11"/>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0"/>
        <v>0.90145415149090002</v>
      </c>
      <c r="F376" t="str">
        <f t="shared" si="11"/>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0"/>
        <v>0.86647068949535888</v>
      </c>
      <c r="F377" t="str">
        <f t="shared" si="11"/>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0"/>
        <v>1.0736730360934184</v>
      </c>
      <c r="F378" t="str">
        <f t="shared" si="11"/>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0"/>
        <v>0.76512306058733115</v>
      </c>
      <c r="F379" t="str">
        <f t="shared" si="11"/>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0"/>
        <v>0.75213894959363525</v>
      </c>
      <c r="F380" t="str">
        <f t="shared" si="11"/>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0"/>
        <v>0.88511528130802364</v>
      </c>
      <c r="F381" t="str">
        <f t="shared" si="11"/>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0"/>
        <v>0.65310526993944074</v>
      </c>
      <c r="F382" t="str">
        <f t="shared" si="11"/>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0"/>
        <v>0.98893863576507768</v>
      </c>
      <c r="F383" t="str">
        <f t="shared" si="11"/>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0"/>
        <v>0.74612882869763608</v>
      </c>
      <c r="F384" t="str">
        <f t="shared" si="11"/>
        <v>Moderate</v>
      </c>
    </row>
    <row r="385" spans="1:6"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0"/>
        <v>0.61603283571246958</v>
      </c>
      <c r="F385" t="str">
        <f t="shared" si="11"/>
        <v>Poor</v>
      </c>
    </row>
    <row r="386" spans="1:6"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ref="E386:E449" si="12">IF(OR(C386="",D386="",D386=0),"",C386/D386)</f>
        <v>1.0086235489220563</v>
      </c>
      <c r="F386" t="str">
        <f t="shared" ref="F386:F449" si="13">IF(E386="","",IF(E386&gt;=0.9,"Expected",IF(E386&gt;=0.7,"Moderate","Poor")))</f>
        <v>Expected</v>
      </c>
    </row>
    <row r="387" spans="1:6"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6"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6"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6"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6"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6" ht="15" hidden="1" customHeight="1" x14ac:dyDescent="0.3">
      <c r="A392" t="s">
        <v>80</v>
      </c>
      <c r="B392" s="2">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9" t="str">
        <f t="shared" si="12"/>
        <v/>
      </c>
      <c r="F392" t="str">
        <f t="shared" si="13"/>
        <v/>
      </c>
    </row>
    <row r="393" spans="1:6"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6"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6"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6"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6"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6"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6"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6"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si="12"/>
        <v>1.2713836302377095</v>
      </c>
      <c r="F416" t="str">
        <f t="shared" si="13"/>
        <v>Expected</v>
      </c>
    </row>
    <row r="417" spans="1:6"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2"/>
        <v>1.1809603108520679</v>
      </c>
      <c r="F417" t="str">
        <f t="shared" si="13"/>
        <v>Expected</v>
      </c>
    </row>
    <row r="418" spans="1:6"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2"/>
        <v>0.83864809753134628</v>
      </c>
      <c r="F418" t="str">
        <f t="shared" si="13"/>
        <v>Moderate</v>
      </c>
    </row>
    <row r="419" spans="1:6"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2"/>
        <v>0.80720491946124939</v>
      </c>
      <c r="F419" t="str">
        <f t="shared" si="13"/>
        <v>Moderate</v>
      </c>
    </row>
    <row r="420" spans="1:6"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2"/>
        <v>0.95298713292647919</v>
      </c>
      <c r="F420" t="str">
        <f t="shared" si="13"/>
        <v>Expected</v>
      </c>
    </row>
    <row r="421" spans="1:6"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2"/>
        <v>0.81897207305230901</v>
      </c>
      <c r="F421" t="str">
        <f t="shared" si="13"/>
        <v>Moderate</v>
      </c>
    </row>
    <row r="422" spans="1:6"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2"/>
        <v>0.72769871772676387</v>
      </c>
      <c r="F422" t="str">
        <f t="shared" si="13"/>
        <v>Moderate</v>
      </c>
    </row>
    <row r="423" spans="1:6"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2"/>
        <v>0.53993035802469136</v>
      </c>
      <c r="F423" t="str">
        <f t="shared" si="13"/>
        <v>Poor</v>
      </c>
    </row>
    <row r="424" spans="1:6"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2"/>
        <v>0.63517685793714851</v>
      </c>
      <c r="F424" t="str">
        <f t="shared" si="13"/>
        <v>Poor</v>
      </c>
    </row>
    <row r="425" spans="1:6"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2"/>
        <v>1.0683379247015612</v>
      </c>
      <c r="F425" t="str">
        <f t="shared" si="13"/>
        <v>Expected</v>
      </c>
    </row>
    <row r="426" spans="1:6"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2"/>
        <v>1.1862067732360617</v>
      </c>
      <c r="F426" t="str">
        <f t="shared" si="13"/>
        <v>Expected</v>
      </c>
    </row>
    <row r="427" spans="1:6"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2"/>
        <v>1.0647100675916044</v>
      </c>
      <c r="F427" t="str">
        <f t="shared" si="13"/>
        <v>Expected</v>
      </c>
    </row>
    <row r="428" spans="1:6" ht="15" hidden="1" customHeight="1" x14ac:dyDescent="0.3">
      <c r="A428" t="s">
        <v>81</v>
      </c>
      <c r="B428" s="2">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9" t="str">
        <f t="shared" si="12"/>
        <v/>
      </c>
      <c r="F428" t="str">
        <f t="shared" si="13"/>
        <v/>
      </c>
    </row>
    <row r="429" spans="1:6"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2"/>
        <v/>
      </c>
      <c r="F429" t="str">
        <f t="shared" si="13"/>
        <v/>
      </c>
    </row>
    <row r="430" spans="1:6"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2"/>
        <v/>
      </c>
      <c r="F430" t="str">
        <f t="shared" si="13"/>
        <v/>
      </c>
    </row>
    <row r="431" spans="1:6"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2"/>
        <v/>
      </c>
      <c r="F431" t="str">
        <f t="shared" si="13"/>
        <v/>
      </c>
    </row>
    <row r="432" spans="1:6"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2"/>
        <v/>
      </c>
      <c r="F432" t="str">
        <f t="shared" si="13"/>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2"/>
        <v/>
      </c>
      <c r="F433" t="str">
        <f t="shared" si="13"/>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2"/>
        <v>0.62040504924400053</v>
      </c>
      <c r="F434" t="str">
        <f t="shared" si="13"/>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2"/>
        <v>0.7443305374339857</v>
      </c>
      <c r="F435" t="str">
        <f t="shared" si="13"/>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2"/>
        <v>0.74779670676355048</v>
      </c>
      <c r="F436" t="str">
        <f t="shared" si="13"/>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2"/>
        <v>0.85134581556182087</v>
      </c>
      <c r="F437" t="str">
        <f t="shared" si="13"/>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2"/>
        <v>0.81041269841269836</v>
      </c>
      <c r="F438" t="str">
        <f t="shared" si="13"/>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2"/>
        <v>0.83275583275583276</v>
      </c>
      <c r="F439" t="str">
        <f t="shared" si="13"/>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2"/>
        <v>1.005032907471932</v>
      </c>
      <c r="F440" t="str">
        <f t="shared" si="13"/>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2"/>
        <v>0.8898537376926956</v>
      </c>
      <c r="F441" t="str">
        <f t="shared" si="13"/>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2"/>
        <v>0.74021097800822455</v>
      </c>
      <c r="F442" t="str">
        <f t="shared" si="13"/>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2"/>
        <v>0.72381664974257565</v>
      </c>
      <c r="F443" t="str">
        <f t="shared" si="13"/>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2"/>
        <v>0.69989321289147977</v>
      </c>
      <c r="F444" t="str">
        <f t="shared" si="13"/>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2"/>
        <v>0.59612098286131432</v>
      </c>
      <c r="F445" t="str">
        <f t="shared" si="13"/>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2"/>
        <v>0.6460674157303371</v>
      </c>
      <c r="F446" t="str">
        <f t="shared" si="13"/>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2"/>
        <v>0.6337371854613234</v>
      </c>
      <c r="F447" t="str">
        <f t="shared" si="13"/>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2"/>
        <v>0.68185056278113609</v>
      </c>
      <c r="F448" t="str">
        <f t="shared" si="13"/>
        <v>Poor</v>
      </c>
    </row>
    <row r="449" spans="1:6"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2"/>
        <v>0.57423070435432189</v>
      </c>
      <c r="F449" t="str">
        <f t="shared" si="13"/>
        <v>Poor</v>
      </c>
    </row>
    <row r="450" spans="1:6"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ref="E450:E513" si="14">IF(OR(C450="",D450="",D450=0),"",C450/D450)</f>
        <v>0.76850793650793647</v>
      </c>
      <c r="F450" t="str">
        <f t="shared" ref="F450:F513" si="15">IF(E450="","",IF(E450&gt;=0.9,"Expected",IF(E450&gt;=0.7,"Moderate","Poor")))</f>
        <v>Moderate</v>
      </c>
    </row>
    <row r="451" spans="1:6"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6"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6"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6"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6"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6"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6"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6"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6"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6"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6"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6"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6"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6" ht="15" hidden="1" customHeight="1" x14ac:dyDescent="0.3">
      <c r="A464" t="s">
        <v>85</v>
      </c>
      <c r="B464" s="2">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9" t="str">
        <f t="shared" si="14"/>
        <v/>
      </c>
      <c r="F464" t="str">
        <f t="shared" si="15"/>
        <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si="14"/>
        <v>0.90373534717000281</v>
      </c>
      <c r="F480" t="str">
        <f t="shared" si="15"/>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4"/>
        <v>0.51067514694514249</v>
      </c>
      <c r="F481" t="str">
        <f t="shared" si="15"/>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4"/>
        <v>0.69960915005452284</v>
      </c>
      <c r="F482" t="str">
        <f t="shared" si="15"/>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4"/>
        <v>0.75184070263075076</v>
      </c>
      <c r="F483" t="str">
        <f t="shared" si="15"/>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4"/>
        <v>0.81717361696608093</v>
      </c>
      <c r="F484" t="str">
        <f t="shared" si="15"/>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4"/>
        <v>0.53269280549354237</v>
      </c>
      <c r="F485" t="str">
        <f t="shared" si="15"/>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4"/>
        <v>0.90814377003153945</v>
      </c>
      <c r="F486" t="str">
        <f t="shared" si="15"/>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4"/>
        <v>0.90949755718845315</v>
      </c>
      <c r="F487" t="str">
        <f t="shared" si="15"/>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4"/>
        <v>1.0845542496670229</v>
      </c>
      <c r="F488" t="str">
        <f t="shared" si="15"/>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4"/>
        <v>1.0998056802552212</v>
      </c>
      <c r="F489" t="str">
        <f t="shared" si="15"/>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4"/>
        <v>1.0321346504786892</v>
      </c>
      <c r="F490" t="str">
        <f t="shared" si="15"/>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4"/>
        <v>1.1347832292722171</v>
      </c>
      <c r="F491" t="str">
        <f t="shared" si="15"/>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4"/>
        <v>1.2815603851139703</v>
      </c>
      <c r="F492" t="str">
        <f t="shared" si="15"/>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4"/>
        <v>1.1261345865271124</v>
      </c>
      <c r="F493" t="str">
        <f t="shared" si="15"/>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4"/>
        <v>1.2170667058741846</v>
      </c>
      <c r="F494" t="str">
        <f t="shared" si="15"/>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4"/>
        <v>1.233918525347262</v>
      </c>
      <c r="F495" t="str">
        <f t="shared" si="15"/>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4"/>
        <v>1.1071526325104071</v>
      </c>
      <c r="F496" t="str">
        <f t="shared" si="15"/>
        <v>Expected</v>
      </c>
    </row>
    <row r="497" spans="1:6"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4"/>
        <v>1.0993575887700895</v>
      </c>
      <c r="F497" t="str">
        <f t="shared" si="15"/>
        <v>Expected</v>
      </c>
    </row>
    <row r="498" spans="1:6"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4"/>
        <v>1.2263773324589717</v>
      </c>
      <c r="F498" t="str">
        <f t="shared" si="15"/>
        <v>Expected</v>
      </c>
    </row>
    <row r="499" spans="1:6"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4"/>
        <v>1.1010296666326842</v>
      </c>
      <c r="F499" t="str">
        <f t="shared" si="15"/>
        <v>Expected</v>
      </c>
    </row>
    <row r="500" spans="1:6" ht="15" hidden="1" customHeight="1" x14ac:dyDescent="0.3">
      <c r="A500" t="s">
        <v>90</v>
      </c>
      <c r="B500" s="2">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9" t="str">
        <f t="shared" si="14"/>
        <v/>
      </c>
      <c r="F500" t="str">
        <f t="shared" si="15"/>
        <v/>
      </c>
    </row>
    <row r="501" spans="1:6"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4"/>
        <v/>
      </c>
      <c r="F501" t="str">
        <f t="shared" si="15"/>
        <v/>
      </c>
    </row>
    <row r="502" spans="1:6"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4"/>
        <v/>
      </c>
      <c r="F502" t="str">
        <f t="shared" si="15"/>
        <v/>
      </c>
    </row>
    <row r="503" spans="1:6"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4"/>
        <v/>
      </c>
      <c r="F503" t="str">
        <f t="shared" si="15"/>
        <v/>
      </c>
    </row>
    <row r="504" spans="1:6"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4"/>
        <v/>
      </c>
      <c r="F504" t="str">
        <f t="shared" si="15"/>
        <v/>
      </c>
    </row>
    <row r="505" spans="1:6"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4"/>
        <v/>
      </c>
      <c r="F505" t="str">
        <f t="shared" si="15"/>
        <v/>
      </c>
    </row>
    <row r="506" spans="1:6"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4"/>
        <v/>
      </c>
      <c r="F506" t="str">
        <f t="shared" si="15"/>
        <v/>
      </c>
    </row>
    <row r="507" spans="1:6"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4"/>
        <v/>
      </c>
      <c r="F507" t="str">
        <f t="shared" si="15"/>
        <v/>
      </c>
    </row>
    <row r="508" spans="1:6"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4"/>
        <v/>
      </c>
      <c r="F508" t="str">
        <f t="shared" si="15"/>
        <v/>
      </c>
    </row>
    <row r="509" spans="1:6"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4"/>
        <v/>
      </c>
      <c r="F509" t="str">
        <f t="shared" si="15"/>
        <v/>
      </c>
    </row>
    <row r="510" spans="1:6"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4"/>
        <v/>
      </c>
      <c r="F510" t="str">
        <f t="shared" si="15"/>
        <v/>
      </c>
    </row>
    <row r="511" spans="1:6"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4"/>
        <v/>
      </c>
      <c r="F511" t="str">
        <f t="shared" si="15"/>
        <v/>
      </c>
    </row>
    <row r="512" spans="1:6"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4"/>
        <v/>
      </c>
      <c r="F512" t="str">
        <f t="shared" si="15"/>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4"/>
        <v/>
      </c>
      <c r="F513" t="str">
        <f t="shared" si="15"/>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ref="E514:E577" si="16">IF(OR(C514="",D514="",D514=0),"",C514/D514)</f>
        <v/>
      </c>
      <c r="F514" t="str">
        <f t="shared" ref="F514:F577" si="17">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6"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6"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6"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6"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6"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6"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6"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6" ht="15" hidden="1" customHeight="1" x14ac:dyDescent="0.3">
      <c r="A536" t="s">
        <v>93</v>
      </c>
      <c r="B536" s="2">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9" t="str">
        <f t="shared" si="16"/>
        <v/>
      </c>
      <c r="F536" t="str">
        <f t="shared" si="17"/>
        <v/>
      </c>
    </row>
    <row r="537" spans="1:6"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6"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6"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6"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6"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6"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6"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6"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si="16"/>
        <v/>
      </c>
      <c r="F544" t="str">
        <f t="shared" si="17"/>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6"/>
        <v/>
      </c>
      <c r="F545" t="str">
        <f t="shared" si="17"/>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6"/>
        <v/>
      </c>
      <c r="F546" t="str">
        <f t="shared" si="17"/>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6"/>
        <v/>
      </c>
      <c r="F547" t="str">
        <f t="shared" si="17"/>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6"/>
        <v/>
      </c>
      <c r="F548" t="str">
        <f t="shared" si="17"/>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6"/>
        <v/>
      </c>
      <c r="F549" t="str">
        <f t="shared" si="17"/>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6"/>
        <v/>
      </c>
      <c r="F550" t="str">
        <f t="shared" si="17"/>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6"/>
        <v/>
      </c>
      <c r="F551" t="str">
        <f t="shared" si="17"/>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6"/>
        <v/>
      </c>
      <c r="F552" t="str">
        <f t="shared" si="17"/>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6"/>
        <v/>
      </c>
      <c r="F553" t="str">
        <f t="shared" si="17"/>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6"/>
        <v>0.513187731232844</v>
      </c>
      <c r="F554" t="str">
        <f t="shared" si="17"/>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6"/>
        <v>0.54766339551305221</v>
      </c>
      <c r="F555" t="str">
        <f t="shared" si="17"/>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6"/>
        <v>0.5379217717841186</v>
      </c>
      <c r="F556" t="str">
        <f t="shared" si="17"/>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6"/>
        <v>0.41424889782157676</v>
      </c>
      <c r="F557" t="str">
        <f t="shared" si="17"/>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6"/>
        <v>0.60840518716211589</v>
      </c>
      <c r="F558" t="str">
        <f t="shared" si="17"/>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6"/>
        <v>0.68503888232379062</v>
      </c>
      <c r="F559" t="str">
        <f t="shared" si="17"/>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6"/>
        <v>0.6526708005091334</v>
      </c>
      <c r="F560" t="str">
        <f t="shared" si="17"/>
        <v>Poor</v>
      </c>
    </row>
    <row r="561" spans="1:6"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6"/>
        <v>0.61978144317815598</v>
      </c>
      <c r="F561" t="str">
        <f t="shared" si="17"/>
        <v>Poor</v>
      </c>
    </row>
    <row r="562" spans="1:6"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6"/>
        <v>0.55110187384534182</v>
      </c>
      <c r="F562" t="str">
        <f t="shared" si="17"/>
        <v>Poor</v>
      </c>
    </row>
    <row r="563" spans="1:6"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6"/>
        <v>0.64523982558139537</v>
      </c>
      <c r="F563" t="str">
        <f t="shared" si="17"/>
        <v>Poor</v>
      </c>
    </row>
    <row r="564" spans="1:6"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6"/>
        <v>0.38368900236042197</v>
      </c>
      <c r="F564" t="str">
        <f t="shared" si="17"/>
        <v>Poor</v>
      </c>
    </row>
    <row r="565" spans="1:6"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6"/>
        <v>0.21761572331348528</v>
      </c>
      <c r="F565" t="str">
        <f t="shared" si="17"/>
        <v>Poor</v>
      </c>
    </row>
    <row r="566" spans="1:6"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6"/>
        <v>0.2310827664399093</v>
      </c>
      <c r="F566" t="str">
        <f t="shared" si="17"/>
        <v>Poor</v>
      </c>
    </row>
    <row r="567" spans="1:6"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6"/>
        <v>0.4594325984821106</v>
      </c>
      <c r="F567" t="str">
        <f t="shared" si="17"/>
        <v>Poor</v>
      </c>
    </row>
    <row r="568" spans="1:6"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6"/>
        <v>0.50348792588328806</v>
      </c>
      <c r="F568" t="str">
        <f t="shared" si="17"/>
        <v>Poor</v>
      </c>
    </row>
    <row r="569" spans="1:6"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6"/>
        <v>0.59963814509854774</v>
      </c>
      <c r="F569" t="str">
        <f t="shared" si="17"/>
        <v>Poor</v>
      </c>
    </row>
    <row r="570" spans="1:6"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6"/>
        <v>0.56261205775679191</v>
      </c>
      <c r="F570" t="str">
        <f t="shared" si="17"/>
        <v>Poor</v>
      </c>
    </row>
    <row r="571" spans="1:6"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6"/>
        <v>0.56973230282468634</v>
      </c>
      <c r="F571" t="str">
        <f t="shared" si="17"/>
        <v>Poor</v>
      </c>
    </row>
    <row r="572" spans="1:6" ht="15" hidden="1" customHeight="1" x14ac:dyDescent="0.3">
      <c r="A572" t="s">
        <v>95</v>
      </c>
      <c r="B572" s="2">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9" t="str">
        <f t="shared" si="16"/>
        <v/>
      </c>
      <c r="F572" t="str">
        <f t="shared" si="17"/>
        <v/>
      </c>
    </row>
    <row r="573" spans="1:6"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6"/>
        <v/>
      </c>
      <c r="F573" t="str">
        <f t="shared" si="17"/>
        <v/>
      </c>
    </row>
    <row r="574" spans="1:6"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6"/>
        <v/>
      </c>
      <c r="F574" t="str">
        <f t="shared" si="17"/>
        <v/>
      </c>
    </row>
    <row r="575" spans="1:6"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6"/>
        <v/>
      </c>
      <c r="F575" t="str">
        <f t="shared" si="17"/>
        <v/>
      </c>
    </row>
    <row r="576" spans="1:6"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6"/>
        <v/>
      </c>
      <c r="F576" t="str">
        <f t="shared" si="17"/>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6"/>
        <v/>
      </c>
      <c r="F577" t="str">
        <f t="shared" si="17"/>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ref="E578:E641" si="18">IF(OR(C578="",D578="",D578=0),"",C578/D578)</f>
        <v/>
      </c>
      <c r="F578" t="str">
        <f t="shared" ref="F578:F641" si="19">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6"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6"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6"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6"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6"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6"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6"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6"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6"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6"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6"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6"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6"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6"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6"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6" ht="15" hidden="1" customHeight="1" x14ac:dyDescent="0.3">
      <c r="A608" t="s">
        <v>239</v>
      </c>
      <c r="B608" s="2">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9" t="str">
        <f t="shared" si="18"/>
        <v/>
      </c>
      <c r="F608" t="str">
        <f t="shared" si="19"/>
        <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18"/>
        <v/>
      </c>
      <c r="F609" t="str">
        <f t="shared" si="19"/>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18"/>
        <v/>
      </c>
      <c r="F610" t="str">
        <f t="shared" si="19"/>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18"/>
        <v/>
      </c>
      <c r="F611" t="str">
        <f t="shared" si="19"/>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18"/>
        <v/>
      </c>
      <c r="F612" t="str">
        <f t="shared" si="19"/>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18"/>
        <v/>
      </c>
      <c r="F613" t="str">
        <f t="shared" si="19"/>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18"/>
        <v>0.71672555948174321</v>
      </c>
      <c r="F614" t="str">
        <f t="shared" si="19"/>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18"/>
        <v>0.71609477649357822</v>
      </c>
      <c r="F615" t="str">
        <f t="shared" si="19"/>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18"/>
        <v>0.75317373615610639</v>
      </c>
      <c r="F616" t="str">
        <f t="shared" si="19"/>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18"/>
        <v>0.72656884034129543</v>
      </c>
      <c r="F617" t="str">
        <f t="shared" si="19"/>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18"/>
        <v>0.75718935198678705</v>
      </c>
      <c r="F618" t="str">
        <f t="shared" si="19"/>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18"/>
        <v>0.72074569458401194</v>
      </c>
      <c r="F619" t="str">
        <f t="shared" si="19"/>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18"/>
        <v>1.1449270608687097</v>
      </c>
      <c r="F620" t="str">
        <f t="shared" si="19"/>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18"/>
        <v>1.0432066824364281</v>
      </c>
      <c r="F621" t="str">
        <f t="shared" si="19"/>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18"/>
        <v>0.78584201808774168</v>
      </c>
      <c r="F622" t="str">
        <f t="shared" si="19"/>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18"/>
        <v>1.0470513767275029</v>
      </c>
      <c r="F623" t="str">
        <f t="shared" si="19"/>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18"/>
        <v>0.46243750595205746</v>
      </c>
      <c r="F624" t="str">
        <f t="shared" si="19"/>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18"/>
        <v/>
      </c>
      <c r="F625" t="str">
        <f t="shared" si="19"/>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18"/>
        <v/>
      </c>
      <c r="F626" t="str">
        <f t="shared" si="19"/>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18"/>
        <v/>
      </c>
      <c r="F627" t="str">
        <f t="shared" si="19"/>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18"/>
        <v>0.52456113915467495</v>
      </c>
      <c r="F628" t="str">
        <f t="shared" si="19"/>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18"/>
        <v>0.3648380893889876</v>
      </c>
      <c r="F629" t="str">
        <f t="shared" si="19"/>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18"/>
        <v>0.60811959584183417</v>
      </c>
      <c r="F630" t="str">
        <f t="shared" si="19"/>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18"/>
        <v>0.59891411691326801</v>
      </c>
      <c r="F631" t="str">
        <f t="shared" si="19"/>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18"/>
        <v>0.68613623504522314</v>
      </c>
      <c r="F632" t="str">
        <f t="shared" si="19"/>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18"/>
        <v>0.71610733293908935</v>
      </c>
      <c r="F633" t="str">
        <f t="shared" si="19"/>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18"/>
        <v>0.64411928528502116</v>
      </c>
      <c r="F634" t="str">
        <f t="shared" si="19"/>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18"/>
        <v>0.80811860428315219</v>
      </c>
      <c r="F635" t="str">
        <f t="shared" si="19"/>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18"/>
        <v>0.75977670934052954</v>
      </c>
      <c r="F636" t="str">
        <f t="shared" si="19"/>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18"/>
        <v>0.39921632655038747</v>
      </c>
      <c r="F637" t="str">
        <f t="shared" si="19"/>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18"/>
        <v>0.36654593639575972</v>
      </c>
      <c r="F638" t="str">
        <f t="shared" si="19"/>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18"/>
        <v>0.17457783191699985</v>
      </c>
      <c r="F639" t="str">
        <f t="shared" si="19"/>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18"/>
        <v>2.7468042894095785E-2</v>
      </c>
      <c r="F640" t="str">
        <f t="shared" si="19"/>
        <v>Poor</v>
      </c>
    </row>
    <row r="641" spans="1:6"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18"/>
        <v>1.7820585934358389E-2</v>
      </c>
      <c r="F641" t="str">
        <f t="shared" si="19"/>
        <v>Poor</v>
      </c>
    </row>
    <row r="642" spans="1:6"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ref="E642:E705" si="20">IF(OR(C642="",D642="",D642=0),"",C642/D642)</f>
        <v/>
      </c>
      <c r="F642" t="str">
        <f t="shared" ref="F642:F705" si="21">IF(E642="","",IF(E642&gt;=0.9,"Expected",IF(E642&gt;=0.7,"Moderate","Poor")))</f>
        <v/>
      </c>
    </row>
    <row r="643" spans="1:6"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6" ht="15" hidden="1" customHeight="1" x14ac:dyDescent="0.3">
      <c r="A644" t="s">
        <v>98</v>
      </c>
      <c r="B644" s="2">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9" t="str">
        <f t="shared" si="20"/>
        <v/>
      </c>
      <c r="F644" t="str">
        <f t="shared" si="21"/>
        <v/>
      </c>
    </row>
    <row r="645" spans="1:6"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6"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6"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6"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6"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6"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6"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6"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6"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6"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6"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6"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si="20"/>
        <v>0.62259835674744479</v>
      </c>
      <c r="F672" t="str">
        <f t="shared" si="21"/>
        <v>Poor</v>
      </c>
    </row>
    <row r="673" spans="1:6"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0"/>
        <v>0.48374766545669506</v>
      </c>
      <c r="F673" t="str">
        <f t="shared" si="21"/>
        <v>Poor</v>
      </c>
    </row>
    <row r="674" spans="1:6"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0"/>
        <v>0.66769876038956044</v>
      </c>
      <c r="F674" t="str">
        <f t="shared" si="21"/>
        <v>Poor</v>
      </c>
    </row>
    <row r="675" spans="1:6"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0"/>
        <v>0.62572163728853658</v>
      </c>
      <c r="F675" t="str">
        <f t="shared" si="21"/>
        <v>Poor</v>
      </c>
    </row>
    <row r="676" spans="1:6"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0"/>
        <v>0.67936814818555424</v>
      </c>
      <c r="F676" t="str">
        <f t="shared" si="21"/>
        <v>Poor</v>
      </c>
    </row>
    <row r="677" spans="1:6"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0"/>
        <v>0.53570715681201952</v>
      </c>
      <c r="F677" t="str">
        <f t="shared" si="21"/>
        <v>Poor</v>
      </c>
    </row>
    <row r="678" spans="1:6"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0"/>
        <v>0.54943383906400578</v>
      </c>
      <c r="F678" t="str">
        <f t="shared" si="21"/>
        <v>Poor</v>
      </c>
    </row>
    <row r="679" spans="1:6"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0"/>
        <v>0.47295576987707633</v>
      </c>
      <c r="F679" t="str">
        <f t="shared" si="21"/>
        <v>Poor</v>
      </c>
    </row>
    <row r="680" spans="1:6" ht="15" hidden="1" customHeight="1" x14ac:dyDescent="0.3">
      <c r="A680" t="s">
        <v>102</v>
      </c>
      <c r="B680" s="2">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9" t="str">
        <f t="shared" si="20"/>
        <v/>
      </c>
      <c r="F680" t="str">
        <f t="shared" si="21"/>
        <v/>
      </c>
    </row>
    <row r="681" spans="1:6"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0"/>
        <v/>
      </c>
      <c r="F681" t="str">
        <f t="shared" si="21"/>
        <v/>
      </c>
    </row>
    <row r="682" spans="1:6"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0"/>
        <v/>
      </c>
      <c r="F682" t="str">
        <f t="shared" si="21"/>
        <v/>
      </c>
    </row>
    <row r="683" spans="1:6"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0"/>
        <v/>
      </c>
      <c r="F683" t="str">
        <f t="shared" si="21"/>
        <v/>
      </c>
    </row>
    <row r="684" spans="1:6"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0"/>
        <v/>
      </c>
      <c r="F684" t="str">
        <f t="shared" si="21"/>
        <v/>
      </c>
    </row>
    <row r="685" spans="1:6"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0"/>
        <v/>
      </c>
      <c r="F685" t="str">
        <f t="shared" si="21"/>
        <v/>
      </c>
    </row>
    <row r="686" spans="1:6"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0"/>
        <v>0.23770654002176708</v>
      </c>
      <c r="F686" t="str">
        <f t="shared" si="21"/>
        <v>Poor</v>
      </c>
    </row>
    <row r="687" spans="1:6"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0"/>
        <v>0.21860618014464167</v>
      </c>
      <c r="F687" t="str">
        <f t="shared" si="21"/>
        <v>Poor</v>
      </c>
    </row>
    <row r="688" spans="1:6"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0"/>
        <v>0.10057362343011648</v>
      </c>
      <c r="F688" t="str">
        <f t="shared" si="21"/>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0"/>
        <v>0.40675692157580196</v>
      </c>
      <c r="F689" t="str">
        <f t="shared" si="21"/>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0"/>
        <v>0.6403068751844202</v>
      </c>
      <c r="F690" t="str">
        <f t="shared" si="21"/>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0"/>
        <v>0.59390681003584234</v>
      </c>
      <c r="F691" t="str">
        <f t="shared" si="21"/>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0"/>
        <v>0.60597103162873189</v>
      </c>
      <c r="F692" t="str">
        <f t="shared" si="21"/>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0"/>
        <v>0.61664392905866305</v>
      </c>
      <c r="F693" t="str">
        <f t="shared" si="21"/>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0"/>
        <v>0.56743680036645761</v>
      </c>
      <c r="F694" t="str">
        <f t="shared" si="21"/>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0"/>
        <v>0.62152688723604343</v>
      </c>
      <c r="F695" t="str">
        <f t="shared" si="21"/>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0"/>
        <v>0.53255675029868577</v>
      </c>
      <c r="F696" t="str">
        <f t="shared" si="21"/>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0"/>
        <v>0.65870430691277593</v>
      </c>
      <c r="F697" t="str">
        <f t="shared" si="21"/>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0"/>
        <v>0.62184624517661025</v>
      </c>
      <c r="F698" t="str">
        <f t="shared" si="21"/>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0"/>
        <v>0.80265176419022566</v>
      </c>
      <c r="F699" t="str">
        <f t="shared" si="21"/>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0"/>
        <v>0.44424228640739899</v>
      </c>
      <c r="F700" t="str">
        <f t="shared" si="21"/>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0"/>
        <v>0.50189047444810342</v>
      </c>
      <c r="F701" t="str">
        <f t="shared" si="21"/>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0"/>
        <v>0.78226943378905611</v>
      </c>
      <c r="F702" t="str">
        <f t="shared" si="21"/>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0"/>
        <v>0.44014336917562724</v>
      </c>
      <c r="F703" t="str">
        <f t="shared" si="21"/>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0"/>
        <v>0.55309225867901601</v>
      </c>
      <c r="F704" t="str">
        <f t="shared" si="21"/>
        <v>Poor</v>
      </c>
    </row>
    <row r="705" spans="1:6"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0"/>
        <v>0.53542519326966798</v>
      </c>
      <c r="F705" t="str">
        <f t="shared" si="21"/>
        <v>Poor</v>
      </c>
    </row>
    <row r="706" spans="1:6"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ref="E706:E769" si="22">IF(OR(C706="",D706="",D706=0),"",C706/D706)</f>
        <v>0.56113830914140106</v>
      </c>
      <c r="F706" t="str">
        <f t="shared" ref="F706:F769" si="23">IF(E706="","",IF(E706&gt;=0.9,"Expected",IF(E706&gt;=0.7,"Moderate","Poor")))</f>
        <v>Poor</v>
      </c>
    </row>
    <row r="707" spans="1:6"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6"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6"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6"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6"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6"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6"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6"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6"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6" ht="15" hidden="1" customHeight="1" x14ac:dyDescent="0.3">
      <c r="A716" t="s">
        <v>104</v>
      </c>
      <c r="B716" s="2">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9" t="str">
        <f t="shared" si="22"/>
        <v/>
      </c>
      <c r="F716" t="str">
        <f t="shared" si="23"/>
        <v/>
      </c>
    </row>
    <row r="717" spans="1:6"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6"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6"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6"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si="22"/>
        <v>0.96200216180261078</v>
      </c>
      <c r="F736" t="str">
        <f t="shared" si="23"/>
        <v>Expected</v>
      </c>
    </row>
    <row r="737" spans="1:6"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2"/>
        <v>0.90049952747401096</v>
      </c>
      <c r="F737" t="str">
        <f t="shared" si="23"/>
        <v>Expected</v>
      </c>
    </row>
    <row r="738" spans="1:6"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2"/>
        <v>1.148197106557979</v>
      </c>
      <c r="F738" t="str">
        <f t="shared" si="23"/>
        <v>Expected</v>
      </c>
    </row>
    <row r="739" spans="1:6"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2"/>
        <v>1.116554946171034</v>
      </c>
      <c r="F739" t="str">
        <f t="shared" si="23"/>
        <v>Expected</v>
      </c>
    </row>
    <row r="740" spans="1:6"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2"/>
        <v>0.92567917684506618</v>
      </c>
      <c r="F740" t="str">
        <f t="shared" si="23"/>
        <v>Expected</v>
      </c>
    </row>
    <row r="741" spans="1:6"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2"/>
        <v>0.10082055421038473</v>
      </c>
      <c r="F741" t="str">
        <f t="shared" si="23"/>
        <v>Poor</v>
      </c>
    </row>
    <row r="742" spans="1:6"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2"/>
        <v>0.8594668445969561</v>
      </c>
      <c r="F742" t="str">
        <f t="shared" si="23"/>
        <v>Moderate</v>
      </c>
    </row>
    <row r="743" spans="1:6"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2"/>
        <v>0.9243010346888072</v>
      </c>
      <c r="F743" t="str">
        <f t="shared" si="23"/>
        <v>Expected</v>
      </c>
    </row>
    <row r="744" spans="1:6"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2"/>
        <v>0.86585689632284624</v>
      </c>
      <c r="F744" t="str">
        <f t="shared" si="23"/>
        <v>Moderate</v>
      </c>
    </row>
    <row r="745" spans="1:6"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2"/>
        <v>1.0499375780274656</v>
      </c>
      <c r="F745" t="str">
        <f t="shared" si="23"/>
        <v>Expected</v>
      </c>
    </row>
    <row r="746" spans="1:6"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2"/>
        <v>0.85295743504698729</v>
      </c>
      <c r="F746" t="str">
        <f t="shared" si="23"/>
        <v>Moderate</v>
      </c>
    </row>
    <row r="747" spans="1:6"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2"/>
        <v>1.1147984267453295</v>
      </c>
      <c r="F747" t="str">
        <f t="shared" si="23"/>
        <v>Expected</v>
      </c>
    </row>
    <row r="748" spans="1:6"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2"/>
        <v>0.80624151215321083</v>
      </c>
      <c r="F748" t="str">
        <f t="shared" si="23"/>
        <v>Moderate</v>
      </c>
    </row>
    <row r="749" spans="1:6"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2"/>
        <v>0.86340623734305377</v>
      </c>
      <c r="F749" t="str">
        <f t="shared" si="23"/>
        <v>Moderate</v>
      </c>
    </row>
    <row r="750" spans="1:6"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2"/>
        <v>1.112432988176544</v>
      </c>
      <c r="F750" t="str">
        <f t="shared" si="23"/>
        <v>Expected</v>
      </c>
    </row>
    <row r="751" spans="1:6"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2"/>
        <v>1.0062969733902092</v>
      </c>
      <c r="F751" t="str">
        <f t="shared" si="23"/>
        <v>Expected</v>
      </c>
    </row>
    <row r="752" spans="1:6" ht="15" hidden="1" customHeight="1" x14ac:dyDescent="0.3">
      <c r="A752" t="s">
        <v>107</v>
      </c>
      <c r="B752" s="2">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9" t="str">
        <f t="shared" si="22"/>
        <v/>
      </c>
      <c r="F752" t="str">
        <f t="shared" si="23"/>
        <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2"/>
        <v/>
      </c>
      <c r="F753" t="str">
        <f t="shared" si="23"/>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2"/>
        <v/>
      </c>
      <c r="F754" t="str">
        <f t="shared" si="23"/>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2"/>
        <v/>
      </c>
      <c r="F755" t="str">
        <f t="shared" si="23"/>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2"/>
        <v/>
      </c>
      <c r="F756" t="str">
        <f t="shared" si="23"/>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2"/>
        <v/>
      </c>
      <c r="F757" t="str">
        <f t="shared" si="23"/>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2"/>
        <v/>
      </c>
      <c r="F758" t="str">
        <f t="shared" si="23"/>
        <v/>
      </c>
    </row>
    <row r="759" spans="1:6" ht="15" hidden="1" customHeight="1" x14ac:dyDescent="0.3">
      <c r="A759" t="s">
        <v>228</v>
      </c>
      <c r="B759" s="2">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9" t="str">
        <f t="shared" si="22"/>
        <v/>
      </c>
      <c r="F759" t="str">
        <f t="shared" si="23"/>
        <v/>
      </c>
    </row>
    <row r="760" spans="1:6" ht="15" hidden="1" customHeight="1" x14ac:dyDescent="0.3">
      <c r="A760" t="s">
        <v>228</v>
      </c>
      <c r="B760" s="2">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9" t="str">
        <f t="shared" si="22"/>
        <v/>
      </c>
      <c r="F760" t="str">
        <f t="shared" si="23"/>
        <v/>
      </c>
    </row>
    <row r="761" spans="1:6" ht="15" hidden="1" customHeight="1" x14ac:dyDescent="0.3">
      <c r="A761" t="s">
        <v>228</v>
      </c>
      <c r="B761" s="2">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9" t="str">
        <f t="shared" si="22"/>
        <v/>
      </c>
      <c r="F761" t="str">
        <f t="shared" si="23"/>
        <v/>
      </c>
    </row>
    <row r="762" spans="1:6" ht="15" hidden="1" customHeight="1" x14ac:dyDescent="0.3">
      <c r="A762" t="s">
        <v>228</v>
      </c>
      <c r="B762" s="2">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9" t="str">
        <f t="shared" si="22"/>
        <v/>
      </c>
      <c r="F762" t="str">
        <f t="shared" si="23"/>
        <v/>
      </c>
    </row>
    <row r="763" spans="1:6" ht="15" hidden="1" customHeight="1" x14ac:dyDescent="0.3">
      <c r="A763" t="s">
        <v>228</v>
      </c>
      <c r="B763" s="2">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9" t="str">
        <f t="shared" si="22"/>
        <v/>
      </c>
      <c r="F763" t="str">
        <f t="shared" si="23"/>
        <v/>
      </c>
    </row>
    <row r="764" spans="1:6" ht="15" hidden="1" customHeight="1" x14ac:dyDescent="0.3">
      <c r="A764" t="s">
        <v>228</v>
      </c>
      <c r="B764" s="2">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9" t="str">
        <f t="shared" si="22"/>
        <v/>
      </c>
      <c r="F764" t="str">
        <f t="shared" si="23"/>
        <v/>
      </c>
    </row>
    <row r="765" spans="1:6" ht="15" hidden="1" customHeight="1" x14ac:dyDescent="0.3">
      <c r="A765" t="s">
        <v>228</v>
      </c>
      <c r="B765" s="2">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9" t="str">
        <f t="shared" si="22"/>
        <v/>
      </c>
      <c r="F765" t="str">
        <f t="shared" si="23"/>
        <v/>
      </c>
    </row>
    <row r="766" spans="1:6" ht="15" hidden="1" customHeight="1" x14ac:dyDescent="0.3">
      <c r="A766" t="s">
        <v>228</v>
      </c>
      <c r="B766" s="2">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9" t="str">
        <f t="shared" si="22"/>
        <v/>
      </c>
      <c r="F766" t="str">
        <f t="shared" si="23"/>
        <v/>
      </c>
    </row>
    <row r="767" spans="1:6" ht="15" hidden="1" customHeight="1" x14ac:dyDescent="0.3">
      <c r="A767" t="s">
        <v>228</v>
      </c>
      <c r="B767" s="2">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9" t="str">
        <f t="shared" si="22"/>
        <v/>
      </c>
      <c r="F767" t="str">
        <f t="shared" si="23"/>
        <v/>
      </c>
    </row>
    <row r="768" spans="1:6" ht="15" hidden="1" customHeight="1" x14ac:dyDescent="0.3">
      <c r="A768" t="s">
        <v>228</v>
      </c>
      <c r="B768" s="2">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9" t="str">
        <f t="shared" si="22"/>
        <v/>
      </c>
      <c r="F768" t="str">
        <f t="shared" si="23"/>
        <v/>
      </c>
    </row>
    <row r="769" spans="1:6" ht="15" hidden="1" customHeight="1" x14ac:dyDescent="0.3">
      <c r="A769" t="s">
        <v>228</v>
      </c>
      <c r="B769" s="2">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9" t="str">
        <f t="shared" si="22"/>
        <v/>
      </c>
      <c r="F769" t="str">
        <f t="shared" si="23"/>
        <v/>
      </c>
    </row>
    <row r="770" spans="1:6" ht="15" hidden="1" customHeight="1" x14ac:dyDescent="0.3">
      <c r="A770" t="s">
        <v>228</v>
      </c>
      <c r="B770" s="2">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9" t="str">
        <f t="shared" ref="E770:E833" si="24">IF(OR(C770="",D770="",D770=0),"",C770/D770)</f>
        <v/>
      </c>
      <c r="F770" t="str">
        <f t="shared" ref="F770:F833" si="25">IF(E770="","",IF(E770&gt;=0.9,"Expected",IF(E770&gt;=0.7,"Moderate","Poor")))</f>
        <v/>
      </c>
    </row>
    <row r="771" spans="1:6" ht="15" hidden="1" customHeight="1" x14ac:dyDescent="0.3">
      <c r="A771" t="s">
        <v>228</v>
      </c>
      <c r="B771" s="2">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9" t="str">
        <f t="shared" si="24"/>
        <v/>
      </c>
      <c r="F771" t="str">
        <f t="shared" si="25"/>
        <v/>
      </c>
    </row>
    <row r="772" spans="1:6" ht="15" hidden="1" customHeight="1" x14ac:dyDescent="0.3">
      <c r="A772" t="s">
        <v>228</v>
      </c>
      <c r="B772" s="2">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9" t="str">
        <f t="shared" si="24"/>
        <v/>
      </c>
      <c r="F772" t="str">
        <f t="shared" si="25"/>
        <v/>
      </c>
    </row>
    <row r="773" spans="1:6" ht="15" hidden="1" customHeight="1" x14ac:dyDescent="0.3">
      <c r="A773" t="s">
        <v>228</v>
      </c>
      <c r="B773" s="2">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9" t="str">
        <f t="shared" si="24"/>
        <v/>
      </c>
      <c r="F773" t="str">
        <f t="shared" si="25"/>
        <v/>
      </c>
    </row>
    <row r="774" spans="1:6" ht="15" hidden="1" customHeight="1" x14ac:dyDescent="0.3">
      <c r="A774" t="s">
        <v>228</v>
      </c>
      <c r="B774" s="2">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9" t="str">
        <f t="shared" si="24"/>
        <v/>
      </c>
      <c r="F774" t="str">
        <f t="shared" si="25"/>
        <v/>
      </c>
    </row>
    <row r="775" spans="1:6" ht="15" hidden="1" customHeight="1" x14ac:dyDescent="0.3">
      <c r="A775" t="s">
        <v>228</v>
      </c>
      <c r="B775" s="2">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9" t="str">
        <f t="shared" si="24"/>
        <v/>
      </c>
      <c r="F775" t="str">
        <f t="shared" si="25"/>
        <v/>
      </c>
    </row>
    <row r="776" spans="1:6" ht="15" hidden="1" customHeight="1" x14ac:dyDescent="0.3">
      <c r="A776" t="s">
        <v>228</v>
      </c>
      <c r="B776" s="2">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9" t="str">
        <f t="shared" si="24"/>
        <v/>
      </c>
      <c r="F776" t="str">
        <f t="shared" si="25"/>
        <v/>
      </c>
    </row>
    <row r="777" spans="1:6" ht="15" hidden="1" customHeight="1" x14ac:dyDescent="0.3">
      <c r="A777" t="s">
        <v>228</v>
      </c>
      <c r="B777" s="2">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9" t="str">
        <f t="shared" si="24"/>
        <v/>
      </c>
      <c r="F777" t="str">
        <f t="shared" si="25"/>
        <v/>
      </c>
    </row>
    <row r="778" spans="1:6" ht="15" hidden="1" customHeight="1" x14ac:dyDescent="0.3">
      <c r="A778" t="s">
        <v>228</v>
      </c>
      <c r="B778" s="2">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9" t="str">
        <f t="shared" si="24"/>
        <v/>
      </c>
      <c r="F778" t="str">
        <f t="shared" si="25"/>
        <v/>
      </c>
    </row>
    <row r="779" spans="1:6" ht="15" hidden="1" customHeight="1" x14ac:dyDescent="0.3">
      <c r="A779" t="s">
        <v>228</v>
      </c>
      <c r="B779" s="2">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9" t="str">
        <f t="shared" si="24"/>
        <v/>
      </c>
      <c r="F779" t="str">
        <f t="shared" si="25"/>
        <v/>
      </c>
    </row>
    <row r="780" spans="1:6" ht="15" hidden="1" customHeight="1" x14ac:dyDescent="0.3">
      <c r="A780" t="s">
        <v>228</v>
      </c>
      <c r="B780" s="2">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9" t="str">
        <f t="shared" si="24"/>
        <v/>
      </c>
      <c r="F780" t="str">
        <f t="shared" si="25"/>
        <v/>
      </c>
    </row>
    <row r="781" spans="1:6" ht="15" hidden="1" customHeight="1" x14ac:dyDescent="0.3">
      <c r="A781" t="s">
        <v>228</v>
      </c>
      <c r="B781" s="2">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4"/>
        <v/>
      </c>
      <c r="F781" t="str">
        <f t="shared" si="25"/>
        <v/>
      </c>
    </row>
    <row r="782" spans="1:6" ht="15" hidden="1" customHeight="1" x14ac:dyDescent="0.3">
      <c r="A782" t="s">
        <v>228</v>
      </c>
      <c r="B782" s="2">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4"/>
        <v/>
      </c>
      <c r="F782" t="str">
        <f t="shared" si="25"/>
        <v/>
      </c>
    </row>
    <row r="783" spans="1:6" ht="15" hidden="1" customHeight="1" x14ac:dyDescent="0.3">
      <c r="A783" t="s">
        <v>228</v>
      </c>
      <c r="B783" s="2">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9" t="str">
        <f t="shared" si="24"/>
        <v/>
      </c>
      <c r="F783" t="str">
        <f t="shared" si="25"/>
        <v/>
      </c>
    </row>
    <row r="784" spans="1:6" ht="15" hidden="1" customHeight="1" x14ac:dyDescent="0.3">
      <c r="A784" t="s">
        <v>228</v>
      </c>
      <c r="B784" s="2">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9" t="str">
        <f t="shared" si="24"/>
        <v/>
      </c>
      <c r="F784" t="str">
        <f t="shared" si="25"/>
        <v/>
      </c>
    </row>
    <row r="785" spans="1:6" ht="15" hidden="1" customHeight="1" x14ac:dyDescent="0.3">
      <c r="A785" t="s">
        <v>228</v>
      </c>
      <c r="B785" s="2">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9" t="str">
        <f t="shared" si="24"/>
        <v/>
      </c>
      <c r="F785" t="str">
        <f t="shared" si="25"/>
        <v/>
      </c>
    </row>
    <row r="786" spans="1:6" ht="15" hidden="1" customHeight="1" x14ac:dyDescent="0.3">
      <c r="A786" t="s">
        <v>228</v>
      </c>
      <c r="B786" s="2">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9" t="str">
        <f t="shared" si="24"/>
        <v/>
      </c>
      <c r="F786" t="str">
        <f t="shared" si="25"/>
        <v/>
      </c>
    </row>
    <row r="787" spans="1:6" ht="15" hidden="1" customHeight="1" x14ac:dyDescent="0.3">
      <c r="A787" t="s">
        <v>228</v>
      </c>
      <c r="B787" s="2">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9" t="str">
        <f t="shared" si="24"/>
        <v/>
      </c>
      <c r="F787" t="str">
        <f t="shared" si="25"/>
        <v/>
      </c>
    </row>
    <row r="788" spans="1:6" ht="15" hidden="1" customHeight="1" x14ac:dyDescent="0.3">
      <c r="A788" t="s">
        <v>228</v>
      </c>
      <c r="B788" s="2">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9" t="str">
        <f t="shared" si="24"/>
        <v/>
      </c>
      <c r="F788" t="str">
        <f t="shared" si="25"/>
        <v/>
      </c>
    </row>
    <row r="789" spans="1:6" ht="15" hidden="1" customHeight="1" x14ac:dyDescent="0.3">
      <c r="A789" t="s">
        <v>228</v>
      </c>
      <c r="B789" s="2">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9" t="str">
        <f t="shared" si="24"/>
        <v/>
      </c>
      <c r="F789" t="str">
        <f t="shared" si="25"/>
        <v/>
      </c>
    </row>
    <row r="790" spans="1:6" ht="15" hidden="1" customHeight="1" x14ac:dyDescent="0.3">
      <c r="A790" t="s">
        <v>228</v>
      </c>
      <c r="B790" s="2">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9" t="str">
        <f t="shared" si="24"/>
        <v/>
      </c>
      <c r="F790" t="str">
        <f t="shared" si="25"/>
        <v/>
      </c>
    </row>
    <row r="791" spans="1:6" ht="15" hidden="1" customHeight="1" x14ac:dyDescent="0.3">
      <c r="A791" t="s">
        <v>228</v>
      </c>
      <c r="B791" s="2">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9" t="str">
        <f t="shared" si="24"/>
        <v/>
      </c>
      <c r="F791" t="str">
        <f t="shared" si="25"/>
        <v/>
      </c>
    </row>
    <row r="792" spans="1:6" ht="15" hidden="1" customHeight="1" x14ac:dyDescent="0.3">
      <c r="A792" t="s">
        <v>228</v>
      </c>
      <c r="B792" s="2">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9" t="str">
        <f t="shared" si="24"/>
        <v/>
      </c>
      <c r="F792" t="str">
        <f t="shared" si="25"/>
        <v/>
      </c>
    </row>
    <row r="793" spans="1:6" ht="15" hidden="1" customHeight="1" x14ac:dyDescent="0.3">
      <c r="A793" t="s">
        <v>228</v>
      </c>
      <c r="B793" s="2">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9" t="str">
        <f t="shared" si="24"/>
        <v/>
      </c>
      <c r="F793" t="str">
        <f t="shared" si="25"/>
        <v/>
      </c>
    </row>
    <row r="794" spans="1:6" ht="15" hidden="1" customHeight="1" x14ac:dyDescent="0.3">
      <c r="A794" t="s">
        <v>228</v>
      </c>
      <c r="B794" s="2">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9" t="str">
        <f t="shared" si="24"/>
        <v/>
      </c>
      <c r="F794" t="str">
        <f t="shared" si="25"/>
        <v/>
      </c>
    </row>
    <row r="795" spans="1:6" ht="15" hidden="1" customHeight="1" x14ac:dyDescent="0.3">
      <c r="A795" t="s">
        <v>228</v>
      </c>
      <c r="B795" s="2">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9" t="str">
        <f t="shared" si="24"/>
        <v/>
      </c>
      <c r="F795" t="str">
        <f t="shared" si="25"/>
        <v/>
      </c>
    </row>
    <row r="796" spans="1:6" ht="15" hidden="1" customHeight="1" x14ac:dyDescent="0.3">
      <c r="A796" t="s">
        <v>228</v>
      </c>
      <c r="B796" s="2">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9" t="str">
        <f t="shared" si="24"/>
        <v/>
      </c>
      <c r="F796" t="str">
        <f t="shared" si="25"/>
        <v/>
      </c>
    </row>
    <row r="797" spans="1:6" ht="15" hidden="1" customHeight="1" x14ac:dyDescent="0.3">
      <c r="A797" t="s">
        <v>228</v>
      </c>
      <c r="B797" s="2">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9" t="str">
        <f t="shared" si="24"/>
        <v/>
      </c>
      <c r="F797" t="str">
        <f t="shared" si="25"/>
        <v/>
      </c>
    </row>
    <row r="798" spans="1:6" ht="15" hidden="1" customHeight="1" x14ac:dyDescent="0.3">
      <c r="A798" t="s">
        <v>228</v>
      </c>
      <c r="B798" s="2">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9" t="str">
        <f t="shared" si="24"/>
        <v/>
      </c>
      <c r="F798" t="str">
        <f t="shared" si="25"/>
        <v/>
      </c>
    </row>
    <row r="799" spans="1:6" ht="15" hidden="1" customHeight="1" x14ac:dyDescent="0.3">
      <c r="A799" t="s">
        <v>228</v>
      </c>
      <c r="B799" s="2">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9" t="str">
        <f t="shared" si="24"/>
        <v/>
      </c>
      <c r="F799" t="str">
        <f t="shared" si="25"/>
        <v/>
      </c>
    </row>
    <row r="800" spans="1:6" ht="15" hidden="1" customHeight="1" x14ac:dyDescent="0.3">
      <c r="A800" t="s">
        <v>228</v>
      </c>
      <c r="B800" s="2">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9" t="str">
        <f t="shared" si="24"/>
        <v/>
      </c>
      <c r="F800" t="str">
        <f t="shared" si="25"/>
        <v/>
      </c>
    </row>
    <row r="801" spans="1:6" ht="15" hidden="1" customHeight="1" x14ac:dyDescent="0.3">
      <c r="A801" t="s">
        <v>228</v>
      </c>
      <c r="B801" s="2">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9" t="str">
        <f t="shared" si="24"/>
        <v/>
      </c>
      <c r="F801" t="str">
        <f t="shared" si="25"/>
        <v/>
      </c>
    </row>
    <row r="802" spans="1:6" ht="15" hidden="1" customHeight="1" x14ac:dyDescent="0.3">
      <c r="A802" t="s">
        <v>228</v>
      </c>
      <c r="B802" s="2">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9" t="str">
        <f t="shared" si="24"/>
        <v/>
      </c>
      <c r="F802" t="str">
        <f t="shared" si="25"/>
        <v/>
      </c>
    </row>
    <row r="803" spans="1:6" ht="15" hidden="1" customHeight="1" x14ac:dyDescent="0.3">
      <c r="A803" t="s">
        <v>228</v>
      </c>
      <c r="B803" s="2">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9" t="str">
        <f t="shared" si="24"/>
        <v/>
      </c>
      <c r="F803" t="str">
        <f t="shared" si="25"/>
        <v/>
      </c>
    </row>
    <row r="804" spans="1:6" ht="15" hidden="1" customHeight="1" x14ac:dyDescent="0.3">
      <c r="A804" t="s">
        <v>228</v>
      </c>
      <c r="B804" s="2">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9" t="str">
        <f t="shared" si="24"/>
        <v/>
      </c>
      <c r="F804" t="str">
        <f t="shared" si="25"/>
        <v/>
      </c>
    </row>
    <row r="805" spans="1:6" ht="15" hidden="1" customHeight="1" x14ac:dyDescent="0.3">
      <c r="A805" t="s">
        <v>228</v>
      </c>
      <c r="B805" s="2">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9" t="str">
        <f t="shared" si="24"/>
        <v/>
      </c>
      <c r="F805" t="str">
        <f t="shared" si="25"/>
        <v/>
      </c>
    </row>
    <row r="806" spans="1:6" ht="15" hidden="1" customHeight="1" x14ac:dyDescent="0.3">
      <c r="A806" t="s">
        <v>228</v>
      </c>
      <c r="B806" s="2">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9" t="str">
        <f t="shared" si="24"/>
        <v/>
      </c>
      <c r="F806" t="str">
        <f t="shared" si="25"/>
        <v/>
      </c>
    </row>
    <row r="807" spans="1:6" ht="15" hidden="1" customHeight="1" x14ac:dyDescent="0.3">
      <c r="A807" t="s">
        <v>228</v>
      </c>
      <c r="B807" s="2">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9" t="str">
        <f t="shared" si="24"/>
        <v/>
      </c>
      <c r="F807" t="str">
        <f t="shared" si="25"/>
        <v/>
      </c>
    </row>
    <row r="808" spans="1:6" ht="15" hidden="1" customHeight="1" x14ac:dyDescent="0.3">
      <c r="A808" t="s">
        <v>228</v>
      </c>
      <c r="B808" s="2">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9" t="str">
        <f t="shared" si="24"/>
        <v/>
      </c>
      <c r="F808" t="str">
        <f t="shared" si="25"/>
        <v/>
      </c>
    </row>
    <row r="809" spans="1:6" ht="15" hidden="1" customHeight="1" x14ac:dyDescent="0.3">
      <c r="A809" t="s">
        <v>228</v>
      </c>
      <c r="B809" s="2">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9" t="str">
        <f t="shared" si="24"/>
        <v/>
      </c>
      <c r="F809" t="str">
        <f t="shared" si="25"/>
        <v/>
      </c>
    </row>
    <row r="810" spans="1:6" ht="15" hidden="1" customHeight="1" x14ac:dyDescent="0.3">
      <c r="A810" t="s">
        <v>228</v>
      </c>
      <c r="B810" s="2">
        <v>46082</v>
      </c>
      <c r="C810" cm="1">
        <f t="array" ref="C810">IFERROR(IF(SUMPRODUCT((measured[Site Name]=A810)*(measured[Date]=B810)*ISNUMBER(measured[Measured Value (kWh)]))=0,"",SUMIFS(measured[Measured Value (kWh)],measured[Site Name],A810,measured[Date],B810)),"")</f>
        <v>2780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9">
        <f t="shared" si="24"/>
        <v>9.9493940890578128E-2</v>
      </c>
      <c r="F810" t="str">
        <f t="shared" si="25"/>
        <v>Poor</v>
      </c>
    </row>
    <row r="811" spans="1:6" ht="15" hidden="1" customHeight="1" x14ac:dyDescent="0.3">
      <c r="A811" t="s">
        <v>228</v>
      </c>
      <c r="B811" s="2">
        <v>46082</v>
      </c>
      <c r="C811" cm="1">
        <f t="array" ref="C811">IFERROR(IF(SUMPRODUCT((measured[Site Name]=A811)*(measured[Date]=B811)*ISNUMBER(measured[Measured Value (kWh)]))=0,"",SUMIFS(measured[Measured Value (kWh)],measured[Site Name],A811,measured[Date],B811)),"")</f>
        <v>2780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9">
        <f t="shared" si="24"/>
        <v>9.9493940890578128E-2</v>
      </c>
      <c r="F811" t="str">
        <f t="shared" si="25"/>
        <v>Poor</v>
      </c>
    </row>
    <row r="812" spans="1:6" ht="15" hidden="1" customHeight="1" x14ac:dyDescent="0.3">
      <c r="A812" t="s">
        <v>228</v>
      </c>
      <c r="B812" s="2">
        <v>46113</v>
      </c>
      <c r="C812" cm="1">
        <f t="array" ref="C812">IFERROR(IF(SUMPRODUCT((measured[Site Name]=A812)*(measured[Date]=B812)*ISNUMBER(measured[Measured Value (kWh)]))=0,"",SUMIFS(measured[Measured Value (kWh)],measured[Site Name],A812,measured[Date],B812)),"")</f>
        <v>14950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9">
        <f t="shared" si="24"/>
        <v>0.29187361384437571</v>
      </c>
      <c r="F812" t="str">
        <f t="shared" si="25"/>
        <v>Poor</v>
      </c>
    </row>
    <row r="813" spans="1:6" ht="15" hidden="1" customHeight="1" x14ac:dyDescent="0.3">
      <c r="A813" t="s">
        <v>228</v>
      </c>
      <c r="B813" s="2">
        <v>46113</v>
      </c>
      <c r="C813" cm="1">
        <f t="array" ref="C813">IFERROR(IF(SUMPRODUCT((measured[Site Name]=A813)*(measured[Date]=B813)*ISNUMBER(measured[Measured Value (kWh)]))=0,"",SUMIFS(measured[Measured Value (kWh)],measured[Site Name],A813,measured[Date],B813)),"")</f>
        <v>14950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9">
        <f t="shared" si="24"/>
        <v>0.29187361384437571</v>
      </c>
      <c r="F813" t="str">
        <f t="shared" si="25"/>
        <v>Poor</v>
      </c>
    </row>
    <row r="814" spans="1:6" ht="15" hidden="1" customHeight="1" x14ac:dyDescent="0.3">
      <c r="A814" t="s">
        <v>228</v>
      </c>
      <c r="B814" s="2">
        <v>46143</v>
      </c>
      <c r="C814" cm="1">
        <f t="array" ref="C814">IFERROR(IF(SUMPRODUCT((measured[Site Name]=A814)*(measured[Date]=B814)*ISNUMBER(measured[Measured Value (kWh)]))=0,"",SUMIFS(measured[Measured Value (kWh)],measured[Site Name],A814,measured[Date],B814)),"")</f>
        <v>6540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9">
        <f t="shared" si="24"/>
        <v>0.25346774099782576</v>
      </c>
      <c r="F814" t="str">
        <f t="shared" si="25"/>
        <v>Poor</v>
      </c>
    </row>
    <row r="815" spans="1:6" ht="15" hidden="1" customHeight="1" x14ac:dyDescent="0.3">
      <c r="A815" t="s">
        <v>228</v>
      </c>
      <c r="B815" s="2">
        <v>46143</v>
      </c>
      <c r="C815" cm="1">
        <f t="array" ref="C815">IFERROR(IF(SUMPRODUCT((measured[Site Name]=A815)*(measured[Date]=B815)*ISNUMBER(measured[Measured Value (kWh)]))=0,"",SUMIFS(measured[Measured Value (kWh)],measured[Site Name],A815,measured[Date],B815)),"")</f>
        <v>6540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9">
        <f t="shared" si="24"/>
        <v>0.25346774099782576</v>
      </c>
      <c r="F815" t="str">
        <f t="shared" si="25"/>
        <v>Poor</v>
      </c>
    </row>
    <row r="816" spans="1:6" ht="15" hidden="1" customHeight="1" x14ac:dyDescent="0.3">
      <c r="A816" t="s">
        <v>228</v>
      </c>
      <c r="B816" s="2">
        <v>46174</v>
      </c>
      <c r="C816" cm="1">
        <f t="array" ref="C816">IFERROR(IF(SUMPRODUCT((measured[Site Name]=A816)*(measured[Date]=B816)*ISNUMBER(measured[Measured Value (kWh)]))=0,"",SUMIFS(measured[Measured Value (kWh)],measured[Site Name],A816,measured[Date],B816)),"")</f>
        <v>7560</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9">
        <f t="shared" si="24"/>
        <v>0.322679778733866</v>
      </c>
      <c r="F816" t="str">
        <f t="shared" si="25"/>
        <v>Poor</v>
      </c>
    </row>
    <row r="817" spans="1:6" ht="15" hidden="1" customHeight="1" x14ac:dyDescent="0.3">
      <c r="A817" t="s">
        <v>228</v>
      </c>
      <c r="B817" s="2">
        <v>46174</v>
      </c>
      <c r="C817" cm="1">
        <f t="array" ref="C817">IFERROR(IF(SUMPRODUCT((measured[Site Name]=A817)*(measured[Date]=B817)*ISNUMBER(measured[Measured Value (kWh)]))=0,"",SUMIFS(measured[Measured Value (kWh)],measured[Site Name],A817,measured[Date],B817)),"")</f>
        <v>7560</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9">
        <f t="shared" si="24"/>
        <v>0.322679778733866</v>
      </c>
      <c r="F817" t="str">
        <f t="shared" si="25"/>
        <v>Poor</v>
      </c>
    </row>
    <row r="818" spans="1:6" ht="15" hidden="1" customHeight="1" x14ac:dyDescent="0.3">
      <c r="A818" t="s">
        <v>228</v>
      </c>
      <c r="B818" s="2">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9" t="str">
        <f t="shared" si="24"/>
        <v/>
      </c>
      <c r="F818" t="str">
        <f t="shared" si="25"/>
        <v/>
      </c>
    </row>
    <row r="819" spans="1:6" ht="15" hidden="1" customHeight="1" x14ac:dyDescent="0.3">
      <c r="A819" t="s">
        <v>228</v>
      </c>
      <c r="B819" s="2">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9" t="str">
        <f t="shared" si="24"/>
        <v/>
      </c>
      <c r="F819" t="str">
        <f t="shared" si="25"/>
        <v/>
      </c>
    </row>
    <row r="820" spans="1:6" ht="15" hidden="1" customHeight="1" x14ac:dyDescent="0.3">
      <c r="A820" t="s">
        <v>228</v>
      </c>
      <c r="B820" s="2">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9" t="str">
        <f t="shared" si="24"/>
        <v/>
      </c>
      <c r="F820" t="str">
        <f t="shared" si="25"/>
        <v/>
      </c>
    </row>
    <row r="821" spans="1:6" ht="15" hidden="1" customHeight="1" x14ac:dyDescent="0.3">
      <c r="A821" t="s">
        <v>228</v>
      </c>
      <c r="B821" s="2">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9" t="str">
        <f t="shared" si="24"/>
        <v/>
      </c>
      <c r="F821" t="str">
        <f t="shared" si="25"/>
        <v/>
      </c>
    </row>
    <row r="822" spans="1:6" ht="15" hidden="1" customHeight="1" x14ac:dyDescent="0.3">
      <c r="A822" t="s">
        <v>228</v>
      </c>
      <c r="B822" s="2">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9" t="str">
        <f t="shared" si="24"/>
        <v/>
      </c>
      <c r="F822" t="str">
        <f t="shared" si="25"/>
        <v/>
      </c>
    </row>
    <row r="823" spans="1:6" ht="15" hidden="1" customHeight="1" x14ac:dyDescent="0.3">
      <c r="A823" t="s">
        <v>228</v>
      </c>
      <c r="B823" s="2">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9" t="str">
        <f t="shared" si="24"/>
        <v/>
      </c>
      <c r="F823" t="str">
        <f t="shared" si="25"/>
        <v/>
      </c>
    </row>
    <row r="824" spans="1:6" ht="15" hidden="1" customHeight="1" x14ac:dyDescent="0.3">
      <c r="A824" t="s">
        <v>228</v>
      </c>
      <c r="B824" s="2">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9" t="str">
        <f t="shared" si="24"/>
        <v/>
      </c>
      <c r="F824" t="str">
        <f t="shared" si="25"/>
        <v/>
      </c>
    </row>
    <row r="825" spans="1:6" ht="15" hidden="1" customHeight="1" x14ac:dyDescent="0.3">
      <c r="A825" t="s">
        <v>228</v>
      </c>
      <c r="B825" s="2">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9" t="str">
        <f t="shared" si="24"/>
        <v/>
      </c>
      <c r="F825" t="str">
        <f t="shared" si="25"/>
        <v/>
      </c>
    </row>
    <row r="826" spans="1:6" ht="15" hidden="1" customHeight="1" x14ac:dyDescent="0.3">
      <c r="A826" t="s">
        <v>228</v>
      </c>
      <c r="B826" s="2">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9" t="str">
        <f t="shared" si="24"/>
        <v/>
      </c>
      <c r="F826" t="str">
        <f t="shared" si="25"/>
        <v/>
      </c>
    </row>
    <row r="827" spans="1:6" ht="15" hidden="1" customHeight="1" x14ac:dyDescent="0.3">
      <c r="A827" t="s">
        <v>228</v>
      </c>
      <c r="B827" s="2">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9" t="str">
        <f t="shared" si="24"/>
        <v/>
      </c>
      <c r="F827" t="str">
        <f t="shared" si="25"/>
        <v/>
      </c>
    </row>
    <row r="828" spans="1:6" ht="15" hidden="1" customHeight="1" x14ac:dyDescent="0.3">
      <c r="A828" t="s">
        <v>228</v>
      </c>
      <c r="B828" s="2">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9" t="str">
        <f t="shared" si="24"/>
        <v/>
      </c>
      <c r="F828" t="str">
        <f t="shared" si="25"/>
        <v/>
      </c>
    </row>
    <row r="829" spans="1:6" ht="15" hidden="1" customHeight="1" x14ac:dyDescent="0.3">
      <c r="A829" t="s">
        <v>228</v>
      </c>
      <c r="B829" s="2">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9" t="str">
        <f t="shared" si="24"/>
        <v/>
      </c>
      <c r="F829" t="str">
        <f t="shared" si="25"/>
        <v/>
      </c>
    </row>
    <row r="830" spans="1:6" ht="15" hidden="1" customHeight="1" x14ac:dyDescent="0.3">
      <c r="A830" t="s">
        <v>109</v>
      </c>
      <c r="B830" s="2">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9" t="str">
        <f t="shared" si="24"/>
        <v/>
      </c>
      <c r="F830" t="str">
        <f t="shared" si="25"/>
        <v/>
      </c>
    </row>
    <row r="831" spans="1:6" ht="15" hidden="1" customHeight="1" x14ac:dyDescent="0.3">
      <c r="A831" t="s">
        <v>109</v>
      </c>
      <c r="B831" s="2">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9" t="str">
        <f t="shared" si="24"/>
        <v/>
      </c>
      <c r="F831" t="str">
        <f t="shared" si="25"/>
        <v/>
      </c>
    </row>
    <row r="832" spans="1:6" ht="15" hidden="1" customHeight="1" x14ac:dyDescent="0.3">
      <c r="A832" t="s">
        <v>109</v>
      </c>
      <c r="B832" s="2">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9" t="str">
        <f t="shared" si="24"/>
        <v/>
      </c>
      <c r="F832" t="str">
        <f t="shared" si="25"/>
        <v/>
      </c>
    </row>
    <row r="833" spans="1:6" ht="15" hidden="1" customHeight="1" x14ac:dyDescent="0.3">
      <c r="A833" t="s">
        <v>109</v>
      </c>
      <c r="B833" s="2">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9" t="str">
        <f t="shared" si="24"/>
        <v/>
      </c>
      <c r="F833" t="str">
        <f t="shared" si="25"/>
        <v/>
      </c>
    </row>
    <row r="834" spans="1:6" ht="15" hidden="1" customHeight="1" x14ac:dyDescent="0.3">
      <c r="A834" t="s">
        <v>109</v>
      </c>
      <c r="B834" s="2">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9" t="str">
        <f t="shared" ref="E834:E897" si="26">IF(OR(C834="",D834="",D834=0),"",C834/D834)</f>
        <v/>
      </c>
      <c r="F834" t="str">
        <f t="shared" ref="F834:F897" si="27">IF(E834="","",IF(E834&gt;=0.9,"Expected",IF(E834&gt;=0.7,"Moderate","Poor")))</f>
        <v/>
      </c>
    </row>
    <row r="835" spans="1:6" ht="15" hidden="1" customHeight="1" x14ac:dyDescent="0.3">
      <c r="A835" t="s">
        <v>109</v>
      </c>
      <c r="B835" s="2">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9">
        <f t="shared" si="26"/>
        <v>0.6027904948768259</v>
      </c>
      <c r="F835" t="str">
        <f t="shared" si="27"/>
        <v>Poor</v>
      </c>
    </row>
    <row r="836" spans="1:6" ht="15" hidden="1" customHeight="1" x14ac:dyDescent="0.3">
      <c r="A836" t="s">
        <v>109</v>
      </c>
      <c r="B836" s="2">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9">
        <f t="shared" si="26"/>
        <v>0.83911005479632927</v>
      </c>
      <c r="F836" t="str">
        <f t="shared" si="27"/>
        <v>Moderate</v>
      </c>
    </row>
    <row r="837" spans="1:6" ht="15" hidden="1" customHeight="1" x14ac:dyDescent="0.3">
      <c r="A837" t="s">
        <v>109</v>
      </c>
      <c r="B837" s="2">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9">
        <f t="shared" si="26"/>
        <v>0.79872564774873833</v>
      </c>
      <c r="F837" t="str">
        <f t="shared" si="27"/>
        <v>Moderate</v>
      </c>
    </row>
    <row r="838" spans="1:6" ht="15" hidden="1" customHeight="1" x14ac:dyDescent="0.3">
      <c r="A838" t="s">
        <v>109</v>
      </c>
      <c r="B838" s="2">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9">
        <f t="shared" si="26"/>
        <v>0.68722196655928824</v>
      </c>
      <c r="F838" t="str">
        <f t="shared" si="27"/>
        <v>Poor</v>
      </c>
    </row>
    <row r="839" spans="1:6" ht="15" hidden="1" customHeight="1" x14ac:dyDescent="0.3">
      <c r="A839" t="s">
        <v>109</v>
      </c>
      <c r="B839" s="2">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9">
        <f t="shared" si="26"/>
        <v>0.89298335404937723</v>
      </c>
      <c r="F839" t="str">
        <f t="shared" si="27"/>
        <v>Moderate</v>
      </c>
    </row>
    <row r="840" spans="1:6" ht="15" hidden="1" customHeight="1" x14ac:dyDescent="0.3">
      <c r="A840" t="s">
        <v>109</v>
      </c>
      <c r="B840" s="2">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9">
        <f t="shared" si="26"/>
        <v>0.84923061987282178</v>
      </c>
      <c r="F840" t="str">
        <f t="shared" si="27"/>
        <v>Moderate</v>
      </c>
    </row>
    <row r="841" spans="1:6" ht="15" hidden="1" customHeight="1" x14ac:dyDescent="0.3">
      <c r="A841" t="s">
        <v>109</v>
      </c>
      <c r="B841" s="2">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9">
        <f t="shared" si="26"/>
        <v>0.64921418128654962</v>
      </c>
      <c r="F841" t="str">
        <f t="shared" si="27"/>
        <v>Poor</v>
      </c>
    </row>
    <row r="842" spans="1:6" ht="15" hidden="1" customHeight="1" x14ac:dyDescent="0.3">
      <c r="A842" t="s">
        <v>109</v>
      </c>
      <c r="B842" s="2">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9">
        <f t="shared" si="26"/>
        <v>0.72602351607876481</v>
      </c>
      <c r="F842" t="str">
        <f t="shared" si="27"/>
        <v>Moderate</v>
      </c>
    </row>
    <row r="843" spans="1:6" ht="15" hidden="1" customHeight="1" x14ac:dyDescent="0.3">
      <c r="A843" t="s">
        <v>109</v>
      </c>
      <c r="B843" s="2">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9">
        <f t="shared" si="26"/>
        <v>0.89970262233035958</v>
      </c>
      <c r="F843" t="str">
        <f t="shared" si="27"/>
        <v>Moderate</v>
      </c>
    </row>
    <row r="844" spans="1:6" ht="15" hidden="1" customHeight="1" x14ac:dyDescent="0.3">
      <c r="A844" t="s">
        <v>109</v>
      </c>
      <c r="B844" s="2">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9">
        <f t="shared" si="26"/>
        <v>0.61165227950687684</v>
      </c>
      <c r="F844" t="str">
        <f t="shared" si="27"/>
        <v>Poor</v>
      </c>
    </row>
    <row r="845" spans="1:6" ht="15" hidden="1" customHeight="1" x14ac:dyDescent="0.3">
      <c r="A845" t="s">
        <v>109</v>
      </c>
      <c r="B845" s="2">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9">
        <f t="shared" si="26"/>
        <v>0.94435022925695633</v>
      </c>
      <c r="F845" t="str">
        <f t="shared" si="27"/>
        <v>Expected</v>
      </c>
    </row>
    <row r="846" spans="1:6" ht="15" hidden="1" customHeight="1" x14ac:dyDescent="0.3">
      <c r="A846" t="s">
        <v>109</v>
      </c>
      <c r="B846" s="2">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9">
        <f t="shared" si="26"/>
        <v>1.1517295597484276</v>
      </c>
      <c r="F846" t="str">
        <f t="shared" si="27"/>
        <v>Expected</v>
      </c>
    </row>
    <row r="847" spans="1:6" ht="15" hidden="1" customHeight="1" x14ac:dyDescent="0.3">
      <c r="A847" t="s">
        <v>109</v>
      </c>
      <c r="B847" s="2">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9">
        <f t="shared" si="26"/>
        <v>1.0583533173461233</v>
      </c>
      <c r="F847" t="str">
        <f t="shared" si="27"/>
        <v>Expected</v>
      </c>
    </row>
    <row r="848" spans="1:6" ht="15" hidden="1" customHeight="1" x14ac:dyDescent="0.3">
      <c r="A848" t="s">
        <v>109</v>
      </c>
      <c r="B848" s="2">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9">
        <f t="shared" si="26"/>
        <v>0.92064435201690098</v>
      </c>
      <c r="F848" t="str">
        <f t="shared" si="27"/>
        <v>Expected</v>
      </c>
    </row>
    <row r="849" spans="1:6" ht="15" hidden="1" customHeight="1" x14ac:dyDescent="0.3">
      <c r="A849" t="s">
        <v>109</v>
      </c>
      <c r="B849" s="2">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9">
        <f t="shared" si="26"/>
        <v>0.94223124418506299</v>
      </c>
      <c r="F849" t="str">
        <f t="shared" si="27"/>
        <v>Expected</v>
      </c>
    </row>
    <row r="850" spans="1:6" ht="15" hidden="1" customHeight="1" x14ac:dyDescent="0.3">
      <c r="A850" t="s">
        <v>109</v>
      </c>
      <c r="B850" s="2">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9">
        <f t="shared" si="26"/>
        <v>0.78718617374852995</v>
      </c>
      <c r="F850" t="str">
        <f t="shared" si="27"/>
        <v>Moderate</v>
      </c>
    </row>
    <row r="851" spans="1:6" ht="15" hidden="1" customHeight="1" x14ac:dyDescent="0.3">
      <c r="A851" t="s">
        <v>109</v>
      </c>
      <c r="B851" s="2">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9">
        <f t="shared" si="26"/>
        <v>0.90370695327922779</v>
      </c>
      <c r="F851" t="str">
        <f t="shared" si="27"/>
        <v>Expected</v>
      </c>
    </row>
    <row r="852" spans="1:6" ht="15" hidden="1" customHeight="1" x14ac:dyDescent="0.3">
      <c r="A852" t="s">
        <v>109</v>
      </c>
      <c r="B852" s="2">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9">
        <f t="shared" si="26"/>
        <v>0.69219940779573808</v>
      </c>
      <c r="F852" t="str">
        <f t="shared" si="27"/>
        <v>Poor</v>
      </c>
    </row>
    <row r="853" spans="1:6" ht="15" hidden="1" customHeight="1" x14ac:dyDescent="0.3">
      <c r="A853" t="s">
        <v>109</v>
      </c>
      <c r="B853" s="2">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9">
        <f t="shared" si="26"/>
        <v>0.54504751461988299</v>
      </c>
      <c r="F853" t="str">
        <f t="shared" si="27"/>
        <v>Poor</v>
      </c>
    </row>
    <row r="854" spans="1:6" ht="15" hidden="1" customHeight="1" x14ac:dyDescent="0.3">
      <c r="A854" t="s">
        <v>109</v>
      </c>
      <c r="B854" s="2">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9">
        <f t="shared" si="26"/>
        <v>0.43797516173206785</v>
      </c>
      <c r="F854" t="str">
        <f t="shared" si="27"/>
        <v>Poor</v>
      </c>
    </row>
    <row r="855" spans="1:6" ht="15" hidden="1" customHeight="1" x14ac:dyDescent="0.3">
      <c r="A855" t="s">
        <v>109</v>
      </c>
      <c r="B855" s="2">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9">
        <f t="shared" si="26"/>
        <v>1.0235198702351986</v>
      </c>
      <c r="F855" t="str">
        <f t="shared" si="27"/>
        <v>Expected</v>
      </c>
    </row>
    <row r="856" spans="1:6" ht="15" hidden="1" customHeight="1" x14ac:dyDescent="0.3">
      <c r="A856" t="s">
        <v>109</v>
      </c>
      <c r="B856" s="2">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9">
        <f t="shared" si="26"/>
        <v>0.77241889073678094</v>
      </c>
      <c r="F856" t="str">
        <f t="shared" si="27"/>
        <v>Moderate</v>
      </c>
    </row>
    <row r="857" spans="1:6" ht="15" hidden="1" customHeight="1" x14ac:dyDescent="0.3">
      <c r="A857" t="s">
        <v>109</v>
      </c>
      <c r="B857" s="2">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9">
        <f t="shared" si="26"/>
        <v>0.4773569499403304</v>
      </c>
      <c r="F857" t="str">
        <f t="shared" si="27"/>
        <v>Poor</v>
      </c>
    </row>
    <row r="858" spans="1:6" ht="15" hidden="1" customHeight="1" x14ac:dyDescent="0.3">
      <c r="A858" t="s">
        <v>109</v>
      </c>
      <c r="B858" s="2">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9">
        <f t="shared" si="26"/>
        <v>0.87644129979035634</v>
      </c>
      <c r="F858" t="str">
        <f t="shared" si="27"/>
        <v>Moderate</v>
      </c>
    </row>
    <row r="859" spans="1:6" ht="15" hidden="1" customHeight="1" x14ac:dyDescent="0.3">
      <c r="A859" t="s">
        <v>109</v>
      </c>
      <c r="B859" s="2">
        <v>46174</v>
      </c>
      <c r="C859" cm="1">
        <f t="array" ref="C859">IFERROR(IF(SUMPRODUCT((measured[Site Name]=A859)*(measured[Date]=B859)*ISNUMBER(measured[Measured Value (kWh)]))=0,"",SUMIFS(measured[Measured Value (kWh)],measured[Site Name],A859,measured[Date],B859)),"")</f>
        <v>2896</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9">
        <f t="shared" si="26"/>
        <v>1.0522491098030666</v>
      </c>
      <c r="F859" t="str">
        <f t="shared" si="27"/>
        <v>Expected</v>
      </c>
    </row>
    <row r="860" spans="1:6" ht="15" hidden="1" customHeight="1" x14ac:dyDescent="0.3">
      <c r="A860" t="s">
        <v>109</v>
      </c>
      <c r="B860" s="2">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9" t="str">
        <f t="shared" si="26"/>
        <v/>
      </c>
      <c r="F860" t="str">
        <f t="shared" si="27"/>
        <v/>
      </c>
    </row>
    <row r="861" spans="1:6" ht="15" hidden="1" customHeight="1" x14ac:dyDescent="0.3">
      <c r="A861" t="s">
        <v>109</v>
      </c>
      <c r="B861" s="2">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9" t="str">
        <f t="shared" si="26"/>
        <v/>
      </c>
      <c r="F861" t="str">
        <f t="shared" si="27"/>
        <v/>
      </c>
    </row>
    <row r="862" spans="1:6" ht="15" hidden="1" customHeight="1" x14ac:dyDescent="0.3">
      <c r="A862" t="s">
        <v>109</v>
      </c>
      <c r="B862" s="2">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9" t="str">
        <f t="shared" si="26"/>
        <v/>
      </c>
      <c r="F862" t="str">
        <f t="shared" si="27"/>
        <v/>
      </c>
    </row>
    <row r="863" spans="1:6" ht="15" hidden="1" customHeight="1" x14ac:dyDescent="0.3">
      <c r="A863" t="s">
        <v>109</v>
      </c>
      <c r="B863" s="2">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9" t="str">
        <f t="shared" si="26"/>
        <v/>
      </c>
      <c r="F863" t="str">
        <f t="shared" si="27"/>
        <v/>
      </c>
    </row>
    <row r="864" spans="1:6" ht="15" hidden="1" customHeight="1" x14ac:dyDescent="0.3">
      <c r="A864" t="s">
        <v>109</v>
      </c>
      <c r="B864" s="2">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9" t="str">
        <f t="shared" si="26"/>
        <v/>
      </c>
      <c r="F864" t="str">
        <f t="shared" si="27"/>
        <v/>
      </c>
    </row>
    <row r="865" spans="1:6" ht="15" hidden="1" customHeight="1" x14ac:dyDescent="0.3">
      <c r="A865" t="s">
        <v>109</v>
      </c>
      <c r="B865" s="2">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9" t="str">
        <f t="shared" si="26"/>
        <v/>
      </c>
      <c r="F865" t="str">
        <f t="shared" si="27"/>
        <v/>
      </c>
    </row>
    <row r="866" spans="1:6" ht="15" hidden="1" customHeight="1" x14ac:dyDescent="0.3">
      <c r="A866" t="s">
        <v>113</v>
      </c>
      <c r="B866" s="2">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9">
        <f t="shared" si="26"/>
        <v>0.82468010124035351</v>
      </c>
      <c r="F866" t="str">
        <f t="shared" si="27"/>
        <v>Moderate</v>
      </c>
    </row>
    <row r="867" spans="1:6" ht="15" hidden="1" customHeight="1" x14ac:dyDescent="0.3">
      <c r="A867" t="s">
        <v>113</v>
      </c>
      <c r="B867" s="2">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9">
        <f t="shared" si="26"/>
        <v>0.79238056526372969</v>
      </c>
      <c r="F867" t="str">
        <f t="shared" si="27"/>
        <v>Moderate</v>
      </c>
    </row>
    <row r="868" spans="1:6" ht="15" hidden="1" customHeight="1" x14ac:dyDescent="0.3">
      <c r="A868" t="s">
        <v>113</v>
      </c>
      <c r="B868" s="2">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9">
        <f t="shared" si="26"/>
        <v>0.73756461527240447</v>
      </c>
      <c r="F868" t="str">
        <f t="shared" si="27"/>
        <v>Moderate</v>
      </c>
    </row>
    <row r="869" spans="1:6" ht="15" hidden="1" customHeight="1" x14ac:dyDescent="0.3">
      <c r="A869" t="s">
        <v>113</v>
      </c>
      <c r="B869" s="2">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9">
        <f t="shared" si="26"/>
        <v>0.75157594652072168</v>
      </c>
      <c r="F869" t="str">
        <f t="shared" si="27"/>
        <v>Moderate</v>
      </c>
    </row>
    <row r="870" spans="1:6" ht="15" hidden="1" customHeight="1" x14ac:dyDescent="0.3">
      <c r="A870" t="s">
        <v>113</v>
      </c>
      <c r="B870" s="2">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9">
        <f t="shared" si="26"/>
        <v>0.70313052671567355</v>
      </c>
      <c r="F870" t="str">
        <f t="shared" si="27"/>
        <v>Moderate</v>
      </c>
    </row>
    <row r="871" spans="1:6" ht="15" hidden="1" customHeight="1" x14ac:dyDescent="0.3">
      <c r="A871" t="s">
        <v>113</v>
      </c>
      <c r="B871" s="2">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9">
        <f t="shared" si="26"/>
        <v>0.63421235997212844</v>
      </c>
      <c r="F871" t="str">
        <f t="shared" si="27"/>
        <v>Poor</v>
      </c>
    </row>
    <row r="872" spans="1:6" ht="15" hidden="1" customHeight="1" x14ac:dyDescent="0.3">
      <c r="A872" t="s">
        <v>113</v>
      </c>
      <c r="B872" s="2">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9">
        <f t="shared" si="26"/>
        <v>0.49270245957783171</v>
      </c>
      <c r="F872" t="str">
        <f t="shared" si="27"/>
        <v>Poor</v>
      </c>
    </row>
    <row r="873" spans="1:6" ht="15" hidden="1" customHeight="1" x14ac:dyDescent="0.3">
      <c r="A873" t="s">
        <v>113</v>
      </c>
      <c r="B873" s="2">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9">
        <f t="shared" si="26"/>
        <v>0.70231127389373649</v>
      </c>
      <c r="F873" t="str">
        <f t="shared" si="27"/>
        <v>Moderate</v>
      </c>
    </row>
    <row r="874" spans="1:6" ht="15" hidden="1" customHeight="1" x14ac:dyDescent="0.3">
      <c r="A874" t="s">
        <v>113</v>
      </c>
      <c r="B874" s="2">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9">
        <f t="shared" si="26"/>
        <v>0.76185980116111118</v>
      </c>
      <c r="F874" t="str">
        <f t="shared" si="27"/>
        <v>Moderate</v>
      </c>
    </row>
    <row r="875" spans="1:6" ht="15" hidden="1" customHeight="1" x14ac:dyDescent="0.3">
      <c r="A875" t="s">
        <v>113</v>
      </c>
      <c r="B875" s="2">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9">
        <f t="shared" si="26"/>
        <v>0.79691891127517012</v>
      </c>
      <c r="F875" t="str">
        <f t="shared" si="27"/>
        <v>Moderate</v>
      </c>
    </row>
    <row r="876" spans="1:6" ht="15" hidden="1" customHeight="1" x14ac:dyDescent="0.3">
      <c r="A876" t="s">
        <v>113</v>
      </c>
      <c r="B876" s="2">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9">
        <f t="shared" si="26"/>
        <v>0.79729422768032898</v>
      </c>
      <c r="F876" t="str">
        <f t="shared" si="27"/>
        <v>Moderate</v>
      </c>
    </row>
    <row r="877" spans="1:6" ht="15" hidden="1" customHeight="1" x14ac:dyDescent="0.3">
      <c r="A877" t="s">
        <v>113</v>
      </c>
      <c r="B877" s="2">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9">
        <f t="shared" si="26"/>
        <v>0.79268418810991159</v>
      </c>
      <c r="F877" t="str">
        <f t="shared" si="27"/>
        <v>Moderate</v>
      </c>
    </row>
    <row r="878" spans="1:6" ht="15" hidden="1" customHeight="1" x14ac:dyDescent="0.3">
      <c r="A878" t="s">
        <v>113</v>
      </c>
      <c r="B878" s="2">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9">
        <f t="shared" si="26"/>
        <v>0.82182662425339281</v>
      </c>
      <c r="F878" t="str">
        <f t="shared" si="27"/>
        <v>Moderate</v>
      </c>
    </row>
    <row r="879" spans="1:6" ht="15" hidden="1" customHeight="1" x14ac:dyDescent="0.3">
      <c r="A879" t="s">
        <v>113</v>
      </c>
      <c r="B879" s="2">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9">
        <f t="shared" si="26"/>
        <v>0.62622259482254916</v>
      </c>
      <c r="F879" t="str">
        <f t="shared" si="27"/>
        <v>Poor</v>
      </c>
    </row>
    <row r="880" spans="1:6" ht="15" hidden="1" customHeight="1" x14ac:dyDescent="0.3">
      <c r="A880" t="s">
        <v>113</v>
      </c>
      <c r="B880" s="2">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9">
        <f t="shared" si="26"/>
        <v>0.51676699395242953</v>
      </c>
      <c r="F880" t="str">
        <f t="shared" si="27"/>
        <v>Poor</v>
      </c>
    </row>
    <row r="881" spans="1:6" ht="15" hidden="1" customHeight="1" x14ac:dyDescent="0.3">
      <c r="A881" t="s">
        <v>113</v>
      </c>
      <c r="B881" s="2">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9">
        <f t="shared" si="26"/>
        <v>0.55965898744747899</v>
      </c>
      <c r="F881" t="str">
        <f t="shared" si="27"/>
        <v>Poor</v>
      </c>
    </row>
    <row r="882" spans="1:6" ht="15" hidden="1" customHeight="1" x14ac:dyDescent="0.3">
      <c r="A882" t="s">
        <v>113</v>
      </c>
      <c r="B882" s="2">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9">
        <f t="shared" si="26"/>
        <v>0.48516730473687053</v>
      </c>
      <c r="F882" t="str">
        <f t="shared" si="27"/>
        <v>Poor</v>
      </c>
    </row>
    <row r="883" spans="1:6" ht="15" hidden="1" customHeight="1" x14ac:dyDescent="0.3">
      <c r="A883" t="s">
        <v>113</v>
      </c>
      <c r="B883" s="2">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9">
        <f t="shared" si="26"/>
        <v>0.50255400117918203</v>
      </c>
      <c r="F883" t="str">
        <f t="shared" si="27"/>
        <v>Poor</v>
      </c>
    </row>
    <row r="884" spans="1:6" ht="15" hidden="1" customHeight="1" x14ac:dyDescent="0.3">
      <c r="A884" t="s">
        <v>113</v>
      </c>
      <c r="B884" s="2">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9">
        <f t="shared" si="26"/>
        <v>0.57520702147205061</v>
      </c>
      <c r="F884" t="str">
        <f t="shared" si="27"/>
        <v>Poor</v>
      </c>
    </row>
    <row r="885" spans="1:6" ht="15" hidden="1" customHeight="1" x14ac:dyDescent="0.3">
      <c r="A885" t="s">
        <v>113</v>
      </c>
      <c r="B885" s="2">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9">
        <f t="shared" si="26"/>
        <v>0.64270410667049682</v>
      </c>
      <c r="F885" t="str">
        <f t="shared" si="27"/>
        <v>Poor</v>
      </c>
    </row>
    <row r="886" spans="1:6" ht="15" hidden="1" customHeight="1" x14ac:dyDescent="0.3">
      <c r="A886" t="s">
        <v>113</v>
      </c>
      <c r="B886" s="2">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9">
        <f t="shared" si="26"/>
        <v>0.72862631814596879</v>
      </c>
      <c r="F886" t="str">
        <f t="shared" si="27"/>
        <v>Moderate</v>
      </c>
    </row>
    <row r="887" spans="1:6" ht="15" hidden="1" customHeight="1" x14ac:dyDescent="0.3">
      <c r="A887" t="s">
        <v>113</v>
      </c>
      <c r="B887" s="2">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9">
        <f t="shared" si="26"/>
        <v>1.019782471841522</v>
      </c>
      <c r="F887" t="str">
        <f t="shared" si="27"/>
        <v>Expected</v>
      </c>
    </row>
    <row r="888" spans="1:6" ht="15" hidden="1" customHeight="1" x14ac:dyDescent="0.3">
      <c r="A888" t="s">
        <v>113</v>
      </c>
      <c r="B888" s="2">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9">
        <f t="shared" si="26"/>
        <v>1.0822442583579281</v>
      </c>
      <c r="F888" t="str">
        <f t="shared" si="27"/>
        <v>Expected</v>
      </c>
    </row>
    <row r="889" spans="1:6" ht="15" hidden="1" customHeight="1" x14ac:dyDescent="0.3">
      <c r="A889" t="s">
        <v>113</v>
      </c>
      <c r="B889" s="2">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9">
        <f t="shared" si="26"/>
        <v>1.0587232269401472</v>
      </c>
      <c r="F889" t="str">
        <f t="shared" si="27"/>
        <v>Expected</v>
      </c>
    </row>
    <row r="890" spans="1:6" ht="15" hidden="1" customHeight="1" x14ac:dyDescent="0.3">
      <c r="A890" t="s">
        <v>113</v>
      </c>
      <c r="B890" s="2">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9">
        <f t="shared" si="26"/>
        <v>1.0282365436464558</v>
      </c>
      <c r="F890" t="str">
        <f t="shared" si="27"/>
        <v>Expected</v>
      </c>
    </row>
    <row r="891" spans="1:6" ht="15" hidden="1" customHeight="1" x14ac:dyDescent="0.3">
      <c r="A891" t="s">
        <v>113</v>
      </c>
      <c r="B891" s="2">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9">
        <f t="shared" si="26"/>
        <v>0.90313238320249989</v>
      </c>
      <c r="F891" t="str">
        <f t="shared" si="27"/>
        <v>Expected</v>
      </c>
    </row>
    <row r="892" spans="1:6" ht="15" hidden="1" customHeight="1" x14ac:dyDescent="0.3">
      <c r="A892" t="s">
        <v>113</v>
      </c>
      <c r="B892" s="2">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9">
        <f t="shared" si="26"/>
        <v>0.95572408677340315</v>
      </c>
      <c r="F892" t="str">
        <f t="shared" si="27"/>
        <v>Expected</v>
      </c>
    </row>
    <row r="893" spans="1:6" ht="15" hidden="1" customHeight="1" x14ac:dyDescent="0.3">
      <c r="A893" t="s">
        <v>113</v>
      </c>
      <c r="B893" s="2">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9">
        <f t="shared" si="26"/>
        <v>0.83243388138922125</v>
      </c>
      <c r="F893" t="str">
        <f t="shared" si="27"/>
        <v>Moderate</v>
      </c>
    </row>
    <row r="894" spans="1:6" ht="15" hidden="1" customHeight="1" x14ac:dyDescent="0.3">
      <c r="A894" t="s">
        <v>113</v>
      </c>
      <c r="B894" s="2">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9">
        <f t="shared" si="26"/>
        <v>0.80983892556887405</v>
      </c>
      <c r="F894" t="str">
        <f t="shared" si="27"/>
        <v>Moderate</v>
      </c>
    </row>
    <row r="895" spans="1:6" ht="15" hidden="1" customHeight="1" x14ac:dyDescent="0.3">
      <c r="A895" t="s">
        <v>113</v>
      </c>
      <c r="B895" s="2">
        <v>46174</v>
      </c>
      <c r="C895" cm="1">
        <f t="array" ref="C895">IFERROR(IF(SUMPRODUCT((measured[Site Name]=A895)*(measured[Date]=B895)*ISNUMBER(measured[Measured Value (kWh)]))=0,"",SUMIFS(measured[Measured Value (kWh)],measured[Site Name],A895,measured[Date],B895)),"")</f>
        <v>14538.69</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9">
        <f t="shared" si="26"/>
        <v>0.97407742402315489</v>
      </c>
      <c r="F895" t="str">
        <f t="shared" si="27"/>
        <v>Expected</v>
      </c>
    </row>
    <row r="896" spans="1:6" ht="15" hidden="1" customHeight="1" x14ac:dyDescent="0.3">
      <c r="A896" t="s">
        <v>113</v>
      </c>
      <c r="B896" s="2">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9" t="str">
        <f t="shared" si="26"/>
        <v/>
      </c>
      <c r="F896" t="str">
        <f t="shared" si="27"/>
        <v/>
      </c>
    </row>
    <row r="897" spans="1:6" ht="15" hidden="1" customHeight="1" x14ac:dyDescent="0.3">
      <c r="A897" t="s">
        <v>113</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9" t="str">
        <f t="shared" si="26"/>
        <v/>
      </c>
      <c r="F897" t="str">
        <f t="shared" si="27"/>
        <v/>
      </c>
    </row>
    <row r="898" spans="1:6" ht="15" hidden="1" customHeight="1" x14ac:dyDescent="0.3">
      <c r="A898" t="s">
        <v>113</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9" t="str">
        <f t="shared" ref="E898:E961" si="28">IF(OR(C898="",D898="",D898=0),"",C898/D898)</f>
        <v/>
      </c>
      <c r="F898" t="str">
        <f t="shared" ref="F898:F961" si="29">IF(E898="","",IF(E898&gt;=0.9,"Expected",IF(E898&gt;=0.7,"Moderate","Poor")))</f>
        <v/>
      </c>
    </row>
    <row r="899" spans="1:6" ht="15" hidden="1" customHeight="1" x14ac:dyDescent="0.3">
      <c r="A899" t="s">
        <v>113</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9" t="str">
        <f t="shared" si="28"/>
        <v/>
      </c>
      <c r="F899" t="str">
        <f t="shared" si="29"/>
        <v/>
      </c>
    </row>
    <row r="900" spans="1:6" ht="15" hidden="1" customHeight="1" x14ac:dyDescent="0.3">
      <c r="A900" t="s">
        <v>113</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9" t="str">
        <f t="shared" si="28"/>
        <v/>
      </c>
      <c r="F900" t="str">
        <f t="shared" si="29"/>
        <v/>
      </c>
    </row>
    <row r="901" spans="1:6" ht="15" hidden="1" customHeight="1" x14ac:dyDescent="0.3">
      <c r="A901" t="s">
        <v>113</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9" t="str">
        <f t="shared" si="28"/>
        <v/>
      </c>
      <c r="F901" t="str">
        <f t="shared" si="29"/>
        <v/>
      </c>
    </row>
    <row r="902" spans="1:6" ht="15" hidden="1" customHeight="1" x14ac:dyDescent="0.3">
      <c r="A902" t="s">
        <v>114</v>
      </c>
      <c r="B902" s="2">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9">
        <f t="shared" si="28"/>
        <v>0.6083432852578825</v>
      </c>
      <c r="F902" t="str">
        <f t="shared" si="29"/>
        <v>Poor</v>
      </c>
    </row>
    <row r="903" spans="1:6" ht="15" hidden="1" customHeight="1" x14ac:dyDescent="0.3">
      <c r="A903" t="s">
        <v>114</v>
      </c>
      <c r="B903" s="2">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9">
        <f t="shared" si="28"/>
        <v>0.7317833080188495</v>
      </c>
      <c r="F903" t="str">
        <f t="shared" si="29"/>
        <v>Moderate</v>
      </c>
    </row>
    <row r="904" spans="1:6" ht="15" hidden="1" customHeight="1" x14ac:dyDescent="0.3">
      <c r="A904" t="s">
        <v>114</v>
      </c>
      <c r="B904" s="2">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9">
        <f t="shared" si="28"/>
        <v>0.93411996066863334</v>
      </c>
      <c r="F904" t="str">
        <f t="shared" si="29"/>
        <v>Expected</v>
      </c>
    </row>
    <row r="905" spans="1:6" ht="15" hidden="1" customHeight="1" x14ac:dyDescent="0.3">
      <c r="A905" t="s">
        <v>114</v>
      </c>
      <c r="B905" s="2">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9">
        <f t="shared" si="28"/>
        <v>0.92944479246421197</v>
      </c>
      <c r="F905" t="str">
        <f t="shared" si="29"/>
        <v>Expected</v>
      </c>
    </row>
    <row r="906" spans="1:6" ht="15" hidden="1" customHeight="1" x14ac:dyDescent="0.3">
      <c r="A906" t="s">
        <v>114</v>
      </c>
      <c r="B906" s="2">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9">
        <f t="shared" si="28"/>
        <v>0.92324909073953176</v>
      </c>
      <c r="F906" t="str">
        <f t="shared" si="29"/>
        <v>Expected</v>
      </c>
    </row>
    <row r="907" spans="1:6" ht="15" hidden="1" customHeight="1" x14ac:dyDescent="0.3">
      <c r="A907" t="s">
        <v>114</v>
      </c>
      <c r="B907" s="2">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9">
        <f t="shared" si="28"/>
        <v>0.64415633088553936</v>
      </c>
      <c r="F907" t="str">
        <f t="shared" si="29"/>
        <v>Poor</v>
      </c>
    </row>
    <row r="908" spans="1:6" ht="15" hidden="1" customHeight="1" x14ac:dyDescent="0.3">
      <c r="A908" t="s">
        <v>114</v>
      </c>
      <c r="B908" s="2">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9">
        <f t="shared" si="28"/>
        <v>0.91843014723287408</v>
      </c>
      <c r="F908" t="str">
        <f t="shared" si="29"/>
        <v>Expected</v>
      </c>
    </row>
    <row r="909" spans="1:6" ht="15" hidden="1" customHeight="1" x14ac:dyDescent="0.3">
      <c r="A909" t="s">
        <v>114</v>
      </c>
      <c r="B909" s="2">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9">
        <f t="shared" si="28"/>
        <v>1.0956395440623914</v>
      </c>
      <c r="F909" t="str">
        <f t="shared" si="29"/>
        <v>Expected</v>
      </c>
    </row>
    <row r="910" spans="1:6" ht="15" hidden="1" customHeight="1" x14ac:dyDescent="0.3">
      <c r="A910" t="s">
        <v>114</v>
      </c>
      <c r="B910" s="2">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9">
        <f t="shared" si="28"/>
        <v>0.91274765021206894</v>
      </c>
      <c r="F910" t="str">
        <f t="shared" si="29"/>
        <v>Expected</v>
      </c>
    </row>
    <row r="911" spans="1:6" ht="15" hidden="1" customHeight="1" x14ac:dyDescent="0.3">
      <c r="A911" t="s">
        <v>114</v>
      </c>
      <c r="B911" s="2">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9">
        <f t="shared" si="28"/>
        <v>1.1577033904170719</v>
      </c>
      <c r="F911" t="str">
        <f t="shared" si="29"/>
        <v>Expected</v>
      </c>
    </row>
    <row r="912" spans="1:6" ht="15" hidden="1" customHeight="1" x14ac:dyDescent="0.3">
      <c r="A912" t="s">
        <v>114</v>
      </c>
      <c r="B912" s="2">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9">
        <f t="shared" si="28"/>
        <v>1.0442251918460237</v>
      </c>
      <c r="F912" t="str">
        <f t="shared" si="29"/>
        <v>Expected</v>
      </c>
    </row>
    <row r="913" spans="1:6" ht="15" hidden="1" customHeight="1" x14ac:dyDescent="0.3">
      <c r="A913" t="s">
        <v>114</v>
      </c>
      <c r="B913" s="2">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9">
        <f t="shared" si="28"/>
        <v>0.63422469331921283</v>
      </c>
      <c r="F913" t="str">
        <f t="shared" si="29"/>
        <v>Poor</v>
      </c>
    </row>
    <row r="914" spans="1:6" ht="15" hidden="1" customHeight="1" x14ac:dyDescent="0.3">
      <c r="A914" t="s">
        <v>114</v>
      </c>
      <c r="B914" s="2">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9">
        <f t="shared" si="28"/>
        <v>0.70796460176991149</v>
      </c>
      <c r="F914" t="str">
        <f t="shared" si="29"/>
        <v>Moderate</v>
      </c>
    </row>
    <row r="915" spans="1:6" ht="15" hidden="1" customHeight="1" x14ac:dyDescent="0.3">
      <c r="A915" t="s">
        <v>114</v>
      </c>
      <c r="B915" s="2">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9">
        <f t="shared" si="28"/>
        <v>0.83880515636561903</v>
      </c>
      <c r="F915" t="str">
        <f t="shared" si="29"/>
        <v>Moderate</v>
      </c>
    </row>
    <row r="916" spans="1:6" ht="15" hidden="1" customHeight="1" x14ac:dyDescent="0.3">
      <c r="A916" t="s">
        <v>114</v>
      </c>
      <c r="B916" s="2">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9">
        <f t="shared" si="28"/>
        <v>0.93626831263478849</v>
      </c>
      <c r="F916" t="str">
        <f t="shared" si="29"/>
        <v>Expected</v>
      </c>
    </row>
    <row r="917" spans="1:6" ht="15" hidden="1" customHeight="1" x14ac:dyDescent="0.3">
      <c r="A917" t="s">
        <v>114</v>
      </c>
      <c r="B917" s="2">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9">
        <f t="shared" si="28"/>
        <v>0.80800909491659123</v>
      </c>
      <c r="F917" t="str">
        <f t="shared" si="29"/>
        <v>Moderate</v>
      </c>
    </row>
    <row r="918" spans="1:6" ht="15" hidden="1" customHeight="1" x14ac:dyDescent="0.3">
      <c r="A918" t="s">
        <v>114</v>
      </c>
      <c r="B918" s="2">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9">
        <f t="shared" si="28"/>
        <v>1.0584724424135037</v>
      </c>
      <c r="F918" t="str">
        <f t="shared" si="29"/>
        <v>Expected</v>
      </c>
    </row>
    <row r="919" spans="1:6" ht="15" hidden="1" customHeight="1" x14ac:dyDescent="0.3">
      <c r="A919" t="s">
        <v>114</v>
      </c>
      <c r="B919" s="2">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9">
        <f t="shared" si="28"/>
        <v>1.0774240773924553</v>
      </c>
      <c r="F919" t="str">
        <f t="shared" si="29"/>
        <v>Expected</v>
      </c>
    </row>
    <row r="920" spans="1:6" ht="15" hidden="1" customHeight="1" x14ac:dyDescent="0.3">
      <c r="A920" t="s">
        <v>114</v>
      </c>
      <c r="B920" s="2">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9">
        <f t="shared" si="28"/>
        <v>1.0054863839837564</v>
      </c>
      <c r="F920" t="str">
        <f t="shared" si="29"/>
        <v>Expected</v>
      </c>
    </row>
    <row r="921" spans="1:6" ht="15" hidden="1" customHeight="1" x14ac:dyDescent="0.3">
      <c r="A921" t="s">
        <v>114</v>
      </c>
      <c r="B921" s="2">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9">
        <f t="shared" si="28"/>
        <v>0.9897292250233426</v>
      </c>
      <c r="F921" t="str">
        <f t="shared" si="29"/>
        <v>Expected</v>
      </c>
    </row>
    <row r="922" spans="1:6" ht="15" hidden="1" customHeight="1" x14ac:dyDescent="0.3">
      <c r="A922" t="s">
        <v>114</v>
      </c>
      <c r="B922" s="2">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9">
        <f t="shared" si="28"/>
        <v>0.88018717206367747</v>
      </c>
      <c r="F922" t="str">
        <f t="shared" si="29"/>
        <v>Moderate</v>
      </c>
    </row>
    <row r="923" spans="1:6" ht="15" hidden="1" customHeight="1" x14ac:dyDescent="0.3">
      <c r="A923" t="s">
        <v>114</v>
      </c>
      <c r="B923" s="2">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9">
        <f t="shared" si="28"/>
        <v>1.0342830289717277</v>
      </c>
      <c r="F923" t="str">
        <f t="shared" si="29"/>
        <v>Expected</v>
      </c>
    </row>
    <row r="924" spans="1:6" ht="15" hidden="1" customHeight="1" x14ac:dyDescent="0.3">
      <c r="A924" t="s">
        <v>114</v>
      </c>
      <c r="B924" s="2">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9">
        <f t="shared" si="28"/>
        <v>0.8546341395723186</v>
      </c>
      <c r="F924" t="str">
        <f t="shared" si="29"/>
        <v>Moderate</v>
      </c>
    </row>
    <row r="925" spans="1:6" ht="15" hidden="1" customHeight="1" x14ac:dyDescent="0.3">
      <c r="A925" t="s">
        <v>114</v>
      </c>
      <c r="B925" s="2">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9">
        <f t="shared" si="28"/>
        <v>0.49231312329008914</v>
      </c>
      <c r="F925" t="str">
        <f t="shared" si="29"/>
        <v>Poor</v>
      </c>
    </row>
    <row r="926" spans="1:6" ht="15" hidden="1" customHeight="1" x14ac:dyDescent="0.3">
      <c r="A926" t="s">
        <v>114</v>
      </c>
      <c r="B926" s="2">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9">
        <f t="shared" si="28"/>
        <v>0.87696018889943628</v>
      </c>
      <c r="F926" t="str">
        <f t="shared" si="29"/>
        <v>Moderate</v>
      </c>
    </row>
    <row r="927" spans="1:6" ht="15" hidden="1" customHeight="1" x14ac:dyDescent="0.3">
      <c r="A927" t="s">
        <v>114</v>
      </c>
      <c r="B927" s="2">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9">
        <f t="shared" si="28"/>
        <v>0.94991626747673019</v>
      </c>
      <c r="F927" t="str">
        <f t="shared" si="29"/>
        <v>Expected</v>
      </c>
    </row>
    <row r="928" spans="1:6" ht="15" hidden="1" customHeight="1" x14ac:dyDescent="0.3">
      <c r="A928" t="s">
        <v>114</v>
      </c>
      <c r="B928" s="2">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9">
        <f t="shared" si="28"/>
        <v>0.94353965775100601</v>
      </c>
      <c r="F928" t="str">
        <f t="shared" si="29"/>
        <v>Expected</v>
      </c>
    </row>
    <row r="929" spans="1:6" ht="15" hidden="1" customHeight="1" x14ac:dyDescent="0.3">
      <c r="A929" t="s">
        <v>114</v>
      </c>
      <c r="B929" s="2">
        <v>46113</v>
      </c>
      <c r="C929" s="5"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9">
        <f t="shared" si="28"/>
        <v>0.88341430593257697</v>
      </c>
      <c r="F929" t="str">
        <f t="shared" si="29"/>
        <v>Moderate</v>
      </c>
    </row>
    <row r="930" spans="1:6" ht="15" hidden="1" customHeight="1" x14ac:dyDescent="0.3">
      <c r="A930" t="s">
        <v>114</v>
      </c>
      <c r="B930" s="2">
        <v>46143</v>
      </c>
      <c r="C930" s="5"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9">
        <f t="shared" si="28"/>
        <v>1.0305988166661484</v>
      </c>
      <c r="F930" t="str">
        <f t="shared" si="29"/>
        <v>Expected</v>
      </c>
    </row>
    <row r="931" spans="1:6" ht="15" hidden="1" customHeight="1" x14ac:dyDescent="0.3">
      <c r="A931" t="s">
        <v>114</v>
      </c>
      <c r="B931" s="2">
        <v>46174</v>
      </c>
      <c r="C931" cm="1">
        <f t="array" ref="C931">IFERROR(IF(SUMPRODUCT((measured[Site Name]=A931)*(measured[Date]=B931)*ISNUMBER(measured[Measured Value (kWh)]))=0,"",SUMIFS(measured[Measured Value (kWh)],measured[Site Name],A931,measured[Date],B931)),"")</f>
        <v>13234</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9">
        <f t="shared" si="28"/>
        <v>0.77497862572174792</v>
      </c>
      <c r="F931" t="str">
        <f t="shared" si="29"/>
        <v>Moderate</v>
      </c>
    </row>
    <row r="932" spans="1:6" ht="15" hidden="1" customHeight="1" x14ac:dyDescent="0.3">
      <c r="A932" t="s">
        <v>114</v>
      </c>
      <c r="B932" s="2">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9" t="str">
        <f t="shared" si="28"/>
        <v/>
      </c>
      <c r="F932" t="str">
        <f t="shared" si="29"/>
        <v/>
      </c>
    </row>
    <row r="933" spans="1:6" ht="15" hidden="1" customHeight="1" x14ac:dyDescent="0.3">
      <c r="A933" t="s">
        <v>114</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9" t="str">
        <f t="shared" si="28"/>
        <v/>
      </c>
      <c r="F933" t="str">
        <f t="shared" si="29"/>
        <v/>
      </c>
    </row>
    <row r="934" spans="1:6" ht="15" hidden="1" customHeight="1" x14ac:dyDescent="0.3">
      <c r="A934" t="s">
        <v>114</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9" t="str">
        <f t="shared" si="28"/>
        <v/>
      </c>
      <c r="F934" t="str">
        <f t="shared" si="29"/>
        <v/>
      </c>
    </row>
    <row r="935" spans="1:6" ht="15" hidden="1" customHeight="1" x14ac:dyDescent="0.3">
      <c r="A935" t="s">
        <v>114</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9" t="str">
        <f t="shared" si="28"/>
        <v/>
      </c>
      <c r="F935" t="str">
        <f t="shared" si="29"/>
        <v/>
      </c>
    </row>
    <row r="936" spans="1:6" ht="15" hidden="1" customHeight="1" x14ac:dyDescent="0.3">
      <c r="A936" t="s">
        <v>114</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9" t="str">
        <f t="shared" si="28"/>
        <v/>
      </c>
      <c r="F936" t="str">
        <f t="shared" si="29"/>
        <v/>
      </c>
    </row>
    <row r="937" spans="1:6" ht="15" hidden="1" customHeight="1" x14ac:dyDescent="0.3">
      <c r="A937" t="s">
        <v>114</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9" t="str">
        <f t="shared" si="28"/>
        <v/>
      </c>
      <c r="F937" t="str">
        <f t="shared" si="29"/>
        <v/>
      </c>
    </row>
    <row r="938" spans="1:6" ht="15" hidden="1" customHeight="1" x14ac:dyDescent="0.3">
      <c r="A938" t="s">
        <v>117</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9" t="str">
        <f t="shared" si="28"/>
        <v/>
      </c>
      <c r="F938" t="str">
        <f t="shared" si="29"/>
        <v/>
      </c>
    </row>
    <row r="939" spans="1:6" ht="15" hidden="1" customHeight="1" x14ac:dyDescent="0.3">
      <c r="A939" t="s">
        <v>117</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9" t="str">
        <f t="shared" si="28"/>
        <v/>
      </c>
      <c r="F939" t="str">
        <f t="shared" si="29"/>
        <v/>
      </c>
    </row>
    <row r="940" spans="1:6" ht="15" hidden="1" customHeight="1" x14ac:dyDescent="0.3">
      <c r="A940" t="s">
        <v>117</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9" t="str">
        <f t="shared" si="28"/>
        <v/>
      </c>
      <c r="F940" t="str">
        <f t="shared" si="29"/>
        <v/>
      </c>
    </row>
    <row r="941" spans="1:6" ht="15" hidden="1" customHeight="1" x14ac:dyDescent="0.3">
      <c r="A941" t="s">
        <v>117</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9" t="str">
        <f t="shared" si="28"/>
        <v/>
      </c>
      <c r="F941" t="str">
        <f t="shared" si="29"/>
        <v/>
      </c>
    </row>
    <row r="942" spans="1:6" ht="15" hidden="1" customHeight="1" x14ac:dyDescent="0.3">
      <c r="A942" t="s">
        <v>117</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9" t="str">
        <f t="shared" si="28"/>
        <v/>
      </c>
      <c r="F942" t="str">
        <f t="shared" si="29"/>
        <v/>
      </c>
    </row>
    <row r="943" spans="1:6" ht="15" hidden="1" customHeight="1" x14ac:dyDescent="0.3">
      <c r="A943" t="s">
        <v>117</v>
      </c>
      <c r="B943" s="2">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9">
        <f t="shared" si="28"/>
        <v>0.26497399695477641</v>
      </c>
      <c r="F943" t="str">
        <f t="shared" si="29"/>
        <v>Poor</v>
      </c>
    </row>
    <row r="944" spans="1:6" ht="15" hidden="1" customHeight="1" x14ac:dyDescent="0.3">
      <c r="A944" t="s">
        <v>117</v>
      </c>
      <c r="B944" s="2">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9">
        <f t="shared" si="28"/>
        <v>1.0114430397867067</v>
      </c>
      <c r="F944" t="str">
        <f t="shared" si="29"/>
        <v>Expected</v>
      </c>
    </row>
    <row r="945" spans="1:6" ht="15" hidden="1" customHeight="1" x14ac:dyDescent="0.3">
      <c r="A945" t="s">
        <v>117</v>
      </c>
      <c r="B945" s="2">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9">
        <f t="shared" si="28"/>
        <v>0.87101618554980809</v>
      </c>
      <c r="F945" t="str">
        <f t="shared" si="29"/>
        <v>Moderate</v>
      </c>
    </row>
    <row r="946" spans="1:6" ht="15" hidden="1" customHeight="1" x14ac:dyDescent="0.3">
      <c r="A946" t="s">
        <v>117</v>
      </c>
      <c r="B946" s="2">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9">
        <f t="shared" si="28"/>
        <v>0.7191276156793398</v>
      </c>
      <c r="F946" t="str">
        <f t="shared" si="29"/>
        <v>Moderate</v>
      </c>
    </row>
    <row r="947" spans="1:6" ht="15" hidden="1" customHeight="1" x14ac:dyDescent="0.3">
      <c r="A947" t="s">
        <v>117</v>
      </c>
      <c r="B947" s="2">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9">
        <f t="shared" si="28"/>
        <v>1.0621984268623175</v>
      </c>
      <c r="F947" t="str">
        <f t="shared" si="29"/>
        <v>Expected</v>
      </c>
    </row>
    <row r="948" spans="1:6" ht="15" hidden="1" customHeight="1" x14ac:dyDescent="0.3">
      <c r="A948" t="s">
        <v>117</v>
      </c>
      <c r="B948" s="2">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9">
        <f t="shared" si="28"/>
        <v>1.0993686288524702</v>
      </c>
      <c r="F948" t="str">
        <f t="shared" si="29"/>
        <v>Expected</v>
      </c>
    </row>
    <row r="949" spans="1:6" ht="15" hidden="1" customHeight="1" x14ac:dyDescent="0.3">
      <c r="A949" t="s">
        <v>117</v>
      </c>
      <c r="B949" s="2">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9">
        <f t="shared" si="28"/>
        <v>0.95242671176711768</v>
      </c>
      <c r="F949" t="str">
        <f t="shared" si="29"/>
        <v>Expected</v>
      </c>
    </row>
    <row r="950" spans="1:6" ht="15" hidden="1" customHeight="1" x14ac:dyDescent="0.3">
      <c r="A950" t="s">
        <v>117</v>
      </c>
      <c r="B950" s="2">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9">
        <f t="shared" si="28"/>
        <v>0.99289090114778189</v>
      </c>
      <c r="F950" t="str">
        <f t="shared" si="29"/>
        <v>Expected</v>
      </c>
    </row>
    <row r="951" spans="1:6" ht="15" hidden="1" customHeight="1" x14ac:dyDescent="0.3">
      <c r="A951" t="s">
        <v>117</v>
      </c>
      <c r="B951" s="2">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9">
        <f t="shared" si="28"/>
        <v>0.77932809485362953</v>
      </c>
      <c r="F951" t="str">
        <f t="shared" si="29"/>
        <v>Moderate</v>
      </c>
    </row>
    <row r="952" spans="1:6" ht="15" hidden="1" customHeight="1" x14ac:dyDescent="0.3">
      <c r="A952" t="s">
        <v>117</v>
      </c>
      <c r="B952" s="2">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9">
        <f t="shared" si="28"/>
        <v>0.72462190879377208</v>
      </c>
      <c r="F952" t="str">
        <f t="shared" si="29"/>
        <v>Moderate</v>
      </c>
    </row>
    <row r="953" spans="1:6" ht="15" hidden="1" customHeight="1" x14ac:dyDescent="0.3">
      <c r="A953" t="s">
        <v>117</v>
      </c>
      <c r="B953" s="2">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9">
        <f t="shared" si="28"/>
        <v>0.80446701533641574</v>
      </c>
      <c r="F953" t="str">
        <f t="shared" si="29"/>
        <v>Moderate</v>
      </c>
    </row>
    <row r="954" spans="1:6" ht="15" hidden="1" customHeight="1" x14ac:dyDescent="0.3">
      <c r="A954" t="s">
        <v>117</v>
      </c>
      <c r="B954" s="2">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9">
        <f t="shared" si="28"/>
        <v>1.0323758379745938</v>
      </c>
      <c r="F954" t="str">
        <f t="shared" si="29"/>
        <v>Expected</v>
      </c>
    </row>
    <row r="955" spans="1:6" ht="15" hidden="1" customHeight="1" x14ac:dyDescent="0.3">
      <c r="A955" t="s">
        <v>117</v>
      </c>
      <c r="B955" s="2">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9">
        <f t="shared" si="28"/>
        <v>0.88726097961282147</v>
      </c>
      <c r="F955" t="str">
        <f t="shared" si="29"/>
        <v>Moderate</v>
      </c>
    </row>
    <row r="956" spans="1:6" ht="15" hidden="1" customHeight="1" x14ac:dyDescent="0.3">
      <c r="A956" t="s">
        <v>117</v>
      </c>
      <c r="B956" s="2">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9">
        <f t="shared" si="28"/>
        <v>0.61943616859471595</v>
      </c>
      <c r="F956" t="str">
        <f t="shared" si="29"/>
        <v>Poor</v>
      </c>
    </row>
    <row r="957" spans="1:6" ht="15" hidden="1" customHeight="1" x14ac:dyDescent="0.3">
      <c r="A957" t="s">
        <v>117</v>
      </c>
      <c r="B957" s="2">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9">
        <f t="shared" si="28"/>
        <v>0.83823720266236534</v>
      </c>
      <c r="F957" t="str">
        <f t="shared" si="29"/>
        <v>Moderate</v>
      </c>
    </row>
    <row r="958" spans="1:6" ht="15" hidden="1" customHeight="1" x14ac:dyDescent="0.3">
      <c r="A958" t="s">
        <v>117</v>
      </c>
      <c r="B958" s="2">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9">
        <f t="shared" si="28"/>
        <v>0.82013141242350163</v>
      </c>
      <c r="F958" t="str">
        <f t="shared" si="29"/>
        <v>Moderate</v>
      </c>
    </row>
    <row r="959" spans="1:6" ht="15" hidden="1" customHeight="1" x14ac:dyDescent="0.3">
      <c r="A959" t="s">
        <v>117</v>
      </c>
      <c r="B959" s="2">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9">
        <f t="shared" si="28"/>
        <v>0.9743869389913411</v>
      </c>
      <c r="F959" t="str">
        <f t="shared" si="29"/>
        <v>Expected</v>
      </c>
    </row>
    <row r="960" spans="1:6" ht="15" hidden="1" customHeight="1" x14ac:dyDescent="0.3">
      <c r="A960" t="s">
        <v>117</v>
      </c>
      <c r="B960" s="2">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9">
        <f t="shared" si="28"/>
        <v>0.75536495294498052</v>
      </c>
      <c r="F960" t="str">
        <f t="shared" si="29"/>
        <v>Moderate</v>
      </c>
    </row>
    <row r="961" spans="1:6" ht="15" hidden="1" customHeight="1" x14ac:dyDescent="0.3">
      <c r="A961" t="s">
        <v>117</v>
      </c>
      <c r="B961" s="2">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9">
        <f t="shared" si="28"/>
        <v>0.89358471709717091</v>
      </c>
      <c r="F961" t="str">
        <f t="shared" si="29"/>
        <v>Moderate</v>
      </c>
    </row>
    <row r="962" spans="1:6" ht="15" hidden="1" customHeight="1" x14ac:dyDescent="0.3">
      <c r="A962" t="s">
        <v>117</v>
      </c>
      <c r="B962" s="2">
        <v>46023</v>
      </c>
      <c r="C962" cm="1">
        <f t="array" ref="C962">IFERROR(IF(SUMPRODUCT((measured[Site Name]=A962)*(measured[Date]=B962)*ISNUMBER(measured[Measured Value (kWh)]))=0,"",SUMIFS(measured[Measured Value (kWh)],measured[Site Name],A962,measured[Date],B962)),"")</f>
        <v>26300</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9">
        <f t="shared" ref="E962:E1025" si="30">IF(OR(C962="",D962="",D962=0),"",C962/D962)</f>
        <v>0.87043435667288882</v>
      </c>
      <c r="F962" t="str">
        <f t="shared" ref="F962:F1025" si="31">IF(E962="","",IF(E962&gt;=0.9,"Expected",IF(E962&gt;=0.7,"Moderate","Poor")))</f>
        <v>Moderate</v>
      </c>
    </row>
    <row r="963" spans="1:6" ht="15" hidden="1" customHeight="1" x14ac:dyDescent="0.3">
      <c r="A963" t="s">
        <v>117</v>
      </c>
      <c r="B963" s="2">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9">
        <f t="shared" si="30"/>
        <v>1.028285478191322</v>
      </c>
      <c r="F963" t="str">
        <f t="shared" si="31"/>
        <v>Expected</v>
      </c>
    </row>
    <row r="964" spans="1:6" ht="15" hidden="1" customHeight="1" x14ac:dyDescent="0.3">
      <c r="A964" t="s">
        <v>117</v>
      </c>
      <c r="B964" s="2">
        <v>46082</v>
      </c>
      <c r="C964" cm="1">
        <f t="array" ref="C964">IFERROR(IF(SUMPRODUCT((measured[Site Name]=A964)*(measured[Date]=B964)*ISNUMBER(measured[Measured Value (kWh)]))=0,"",SUMIFS(measured[Measured Value (kWh)],measured[Site Name],A964,measured[Date],B964)),"")</f>
        <v>23100</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9">
        <f t="shared" si="30"/>
        <v>0.8379857868904198</v>
      </c>
      <c r="F964" t="str">
        <f t="shared" si="31"/>
        <v>Moderate</v>
      </c>
    </row>
    <row r="965" spans="1:6" ht="15" hidden="1" customHeight="1" x14ac:dyDescent="0.3">
      <c r="A965" t="s">
        <v>117</v>
      </c>
      <c r="B965" s="2">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9">
        <f t="shared" si="30"/>
        <v>0.84139990062069958</v>
      </c>
      <c r="F965" t="str">
        <f t="shared" si="31"/>
        <v>Moderate</v>
      </c>
    </row>
    <row r="966" spans="1:6" ht="15" hidden="1" customHeight="1" x14ac:dyDescent="0.3">
      <c r="A966" t="s">
        <v>117</v>
      </c>
      <c r="B966" s="2">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9">
        <f t="shared" si="30"/>
        <v>0.90978009951571381</v>
      </c>
      <c r="F966" t="str">
        <f t="shared" si="31"/>
        <v>Expected</v>
      </c>
    </row>
    <row r="967" spans="1:6" ht="15" hidden="1" customHeight="1" x14ac:dyDescent="0.3">
      <c r="A967" t="s">
        <v>117</v>
      </c>
      <c r="B967" s="2">
        <v>46174</v>
      </c>
      <c r="C967" cm="1">
        <f t="array" ref="C967">IFERROR(IF(SUMPRODUCT((measured[Site Name]=A967)*(measured[Date]=B967)*ISNUMBER(measured[Measured Value (kWh)]))=0,"",SUMIFS(measured[Measured Value (kWh)],measured[Site Name],A967,measured[Date],B967)),"")</f>
        <v>15001.099999999999</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9">
        <f t="shared" si="30"/>
        <v>0.74158608688774186</v>
      </c>
      <c r="F967" t="str">
        <f t="shared" si="31"/>
        <v>Moderate</v>
      </c>
    </row>
    <row r="968" spans="1:6" ht="15" hidden="1" customHeight="1" x14ac:dyDescent="0.3">
      <c r="A968" t="s">
        <v>117</v>
      </c>
      <c r="B968" s="2">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9" t="str">
        <f t="shared" si="30"/>
        <v/>
      </c>
      <c r="F968" t="str">
        <f t="shared" si="31"/>
        <v/>
      </c>
    </row>
    <row r="969" spans="1:6" ht="15" hidden="1" customHeight="1" x14ac:dyDescent="0.3">
      <c r="A969" t="s">
        <v>117</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9" t="str">
        <f t="shared" si="30"/>
        <v/>
      </c>
      <c r="F969" t="str">
        <f t="shared" si="31"/>
        <v/>
      </c>
    </row>
    <row r="970" spans="1:6" ht="15" hidden="1" customHeight="1" x14ac:dyDescent="0.3">
      <c r="A970" t="s">
        <v>117</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9" t="str">
        <f t="shared" si="30"/>
        <v/>
      </c>
      <c r="F970" t="str">
        <f t="shared" si="31"/>
        <v/>
      </c>
    </row>
    <row r="971" spans="1:6" ht="15" hidden="1" customHeight="1" x14ac:dyDescent="0.3">
      <c r="A971" t="s">
        <v>117</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9" t="str">
        <f t="shared" si="30"/>
        <v/>
      </c>
      <c r="F971" t="str">
        <f t="shared" si="31"/>
        <v/>
      </c>
    </row>
    <row r="972" spans="1:6" ht="15" hidden="1" customHeight="1" x14ac:dyDescent="0.3">
      <c r="A972" t="s">
        <v>117</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9" t="str">
        <f t="shared" si="30"/>
        <v/>
      </c>
      <c r="F972" t="str">
        <f t="shared" si="31"/>
        <v/>
      </c>
    </row>
    <row r="973" spans="1:6" ht="15" hidden="1" customHeight="1" x14ac:dyDescent="0.3">
      <c r="A973" t="s">
        <v>117</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9" t="str">
        <f t="shared" si="30"/>
        <v/>
      </c>
      <c r="F973" t="str">
        <f t="shared" si="31"/>
        <v/>
      </c>
    </row>
    <row r="974" spans="1:6" ht="15" hidden="1" customHeight="1" x14ac:dyDescent="0.3">
      <c r="A974" t="s">
        <v>225</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0"/>
        <v/>
      </c>
      <c r="F974" t="str">
        <f t="shared" si="31"/>
        <v/>
      </c>
    </row>
    <row r="975" spans="1:6" ht="15" hidden="1" customHeight="1" x14ac:dyDescent="0.3">
      <c r="A975" t="s">
        <v>225</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0"/>
        <v/>
      </c>
      <c r="F975" t="str">
        <f t="shared" si="31"/>
        <v/>
      </c>
    </row>
    <row r="976" spans="1:6" ht="15" hidden="1" customHeight="1" x14ac:dyDescent="0.3">
      <c r="A976" t="s">
        <v>225</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0"/>
        <v/>
      </c>
      <c r="F976" t="str">
        <f t="shared" si="31"/>
        <v/>
      </c>
    </row>
    <row r="977" spans="1:6" ht="15" hidden="1" customHeight="1" x14ac:dyDescent="0.3">
      <c r="A977" t="s">
        <v>225</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0"/>
        <v/>
      </c>
      <c r="F977" t="str">
        <f t="shared" si="31"/>
        <v/>
      </c>
    </row>
    <row r="978" spans="1:6" ht="15" hidden="1" customHeight="1" x14ac:dyDescent="0.3">
      <c r="A978" t="s">
        <v>225</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0"/>
        <v/>
      </c>
      <c r="F978" t="str">
        <f t="shared" si="31"/>
        <v/>
      </c>
    </row>
    <row r="979" spans="1:6" ht="15" hidden="1" customHeight="1" x14ac:dyDescent="0.3">
      <c r="A979" t="s">
        <v>225</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0"/>
        <v/>
      </c>
      <c r="F979" t="str">
        <f t="shared" si="31"/>
        <v/>
      </c>
    </row>
    <row r="980" spans="1:6" ht="15" hidden="1" customHeight="1" x14ac:dyDescent="0.3">
      <c r="A980" t="s">
        <v>225</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0"/>
        <v/>
      </c>
      <c r="F980" t="str">
        <f t="shared" si="31"/>
        <v/>
      </c>
    </row>
    <row r="981" spans="1:6" ht="15" hidden="1" customHeight="1" x14ac:dyDescent="0.3">
      <c r="A981" t="s">
        <v>225</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0"/>
        <v/>
      </c>
      <c r="F981" t="str">
        <f t="shared" si="31"/>
        <v/>
      </c>
    </row>
    <row r="982" spans="1:6" ht="15" hidden="1" customHeight="1" x14ac:dyDescent="0.3">
      <c r="A982" t="s">
        <v>225</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0"/>
        <v/>
      </c>
      <c r="F982" t="str">
        <f t="shared" si="31"/>
        <v/>
      </c>
    </row>
    <row r="983" spans="1:6" ht="15" hidden="1" customHeight="1" x14ac:dyDescent="0.3">
      <c r="A983" t="s">
        <v>225</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0"/>
        <v/>
      </c>
      <c r="F983" t="str">
        <f t="shared" si="31"/>
        <v/>
      </c>
    </row>
    <row r="984" spans="1:6" ht="15" hidden="1" customHeight="1" x14ac:dyDescent="0.3">
      <c r="A984" t="s">
        <v>225</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0"/>
        <v/>
      </c>
      <c r="F984" t="str">
        <f t="shared" si="31"/>
        <v/>
      </c>
    </row>
    <row r="985" spans="1:6" ht="15" hidden="1" customHeight="1" x14ac:dyDescent="0.3">
      <c r="A985" t="s">
        <v>225</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0"/>
        <v/>
      </c>
      <c r="F985" t="str">
        <f t="shared" si="31"/>
        <v/>
      </c>
    </row>
    <row r="986" spans="1:6" ht="15" hidden="1" customHeight="1" x14ac:dyDescent="0.3">
      <c r="A986" t="s">
        <v>225</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0"/>
        <v/>
      </c>
      <c r="F986" t="str">
        <f t="shared" si="31"/>
        <v/>
      </c>
    </row>
    <row r="987" spans="1:6" ht="15" hidden="1" customHeight="1" x14ac:dyDescent="0.3">
      <c r="A987" t="s">
        <v>225</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0"/>
        <v/>
      </c>
      <c r="F987" t="str">
        <f t="shared" si="31"/>
        <v/>
      </c>
    </row>
    <row r="988" spans="1:6" ht="15" hidden="1" customHeight="1" x14ac:dyDescent="0.3">
      <c r="A988" t="s">
        <v>225</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0"/>
        <v/>
      </c>
      <c r="F988" t="str">
        <f t="shared" si="31"/>
        <v/>
      </c>
    </row>
    <row r="989" spans="1:6" ht="15" hidden="1" customHeight="1" x14ac:dyDescent="0.3">
      <c r="A989" t="s">
        <v>225</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0"/>
        <v/>
      </c>
      <c r="F989" t="str">
        <f t="shared" si="31"/>
        <v/>
      </c>
    </row>
    <row r="990" spans="1:6" ht="15" hidden="1" customHeight="1" x14ac:dyDescent="0.3">
      <c r="A990" t="s">
        <v>225</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0"/>
        <v/>
      </c>
      <c r="F990" t="str">
        <f t="shared" si="31"/>
        <v/>
      </c>
    </row>
    <row r="991" spans="1:6" ht="15" hidden="1" customHeight="1" x14ac:dyDescent="0.3">
      <c r="A991" t="s">
        <v>225</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0"/>
        <v/>
      </c>
      <c r="F991" t="str">
        <f t="shared" si="31"/>
        <v/>
      </c>
    </row>
    <row r="992" spans="1:6" ht="15" hidden="1" customHeight="1" x14ac:dyDescent="0.3">
      <c r="A992" t="s">
        <v>225</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0"/>
        <v/>
      </c>
      <c r="F992" t="str">
        <f t="shared" si="31"/>
        <v/>
      </c>
    </row>
    <row r="993" spans="1:6" ht="15" hidden="1" customHeight="1" x14ac:dyDescent="0.3">
      <c r="A993" t="s">
        <v>225</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0"/>
        <v/>
      </c>
      <c r="F993" t="str">
        <f t="shared" si="31"/>
        <v/>
      </c>
    </row>
    <row r="994" spans="1:6" ht="15" hidden="1" customHeight="1" x14ac:dyDescent="0.3">
      <c r="A994" t="s">
        <v>225</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0"/>
        <v/>
      </c>
      <c r="F994" t="str">
        <f t="shared" si="31"/>
        <v/>
      </c>
    </row>
    <row r="995" spans="1:6" ht="15" hidden="1" customHeight="1" x14ac:dyDescent="0.3">
      <c r="A995" t="s">
        <v>225</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0"/>
        <v/>
      </c>
      <c r="F995" t="str">
        <f t="shared" si="31"/>
        <v/>
      </c>
    </row>
    <row r="996" spans="1:6" ht="15" hidden="1" customHeight="1" x14ac:dyDescent="0.3">
      <c r="A996" t="s">
        <v>225</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0"/>
        <v/>
      </c>
      <c r="F996" t="str">
        <f t="shared" si="31"/>
        <v/>
      </c>
    </row>
    <row r="997" spans="1:6" ht="15" hidden="1" customHeight="1" x14ac:dyDescent="0.3">
      <c r="A997" t="s">
        <v>225</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0"/>
        <v>0.78488489703442965</v>
      </c>
      <c r="F997" t="str">
        <f t="shared" si="31"/>
        <v>Moderate</v>
      </c>
    </row>
    <row r="998" spans="1:6" ht="15" hidden="1" customHeight="1" x14ac:dyDescent="0.3">
      <c r="A998" t="s">
        <v>225</v>
      </c>
      <c r="B998" s="2">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0"/>
        <v>1.0449593979005745</v>
      </c>
      <c r="F998" t="str">
        <f t="shared" si="31"/>
        <v>Expected</v>
      </c>
    </row>
    <row r="999" spans="1:6" ht="15" hidden="1" customHeight="1" x14ac:dyDescent="0.3">
      <c r="A999" t="s">
        <v>225</v>
      </c>
      <c r="B999" s="2">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0"/>
        <v>1.2426021876799078</v>
      </c>
      <c r="F999" t="str">
        <f t="shared" si="31"/>
        <v>Expected</v>
      </c>
    </row>
    <row r="1000" spans="1:6" ht="15" hidden="1" customHeight="1" x14ac:dyDescent="0.3">
      <c r="A1000" t="s">
        <v>225</v>
      </c>
      <c r="B1000" s="2">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0"/>
        <v>0.95171274675319928</v>
      </c>
      <c r="F1000" t="str">
        <f t="shared" si="31"/>
        <v>Expected</v>
      </c>
    </row>
    <row r="1001" spans="1:6" ht="15" hidden="1" customHeight="1" x14ac:dyDescent="0.3">
      <c r="A1001" t="s">
        <v>225</v>
      </c>
      <c r="B1001" s="2">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0"/>
        <v>0.98570273330098668</v>
      </c>
      <c r="F1001" t="str">
        <f t="shared" si="31"/>
        <v>Expected</v>
      </c>
    </row>
    <row r="1002" spans="1:6" ht="15" hidden="1" customHeight="1" x14ac:dyDescent="0.3">
      <c r="A1002" t="s">
        <v>225</v>
      </c>
      <c r="B1002" s="2">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0"/>
        <v>1.201360406434081</v>
      </c>
      <c r="F1002" t="str">
        <f t="shared" si="31"/>
        <v>Expected</v>
      </c>
    </row>
    <row r="1003" spans="1:6" ht="15" hidden="1" customHeight="1" x14ac:dyDescent="0.3">
      <c r="A1003" t="s">
        <v>225</v>
      </c>
      <c r="B1003" s="2">
        <v>46174</v>
      </c>
      <c r="C1003" cm="1">
        <f t="array" ref="C1003">IFERROR(IF(SUMPRODUCT((measured[Site Name]=A1003)*(measured[Date]=B1003)*ISNUMBER(measured[Measured Value (kWh)]))=0,"",SUMIFS(measured[Measured Value (kWh)],measured[Site Name],A1003,measured[Date],B1003)),"")</f>
        <v>5909</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0"/>
        <v>1.1158320114812297</v>
      </c>
      <c r="F1003" t="str">
        <f t="shared" si="31"/>
        <v>Expected</v>
      </c>
    </row>
    <row r="1004" spans="1:6" ht="15" hidden="1" customHeight="1" x14ac:dyDescent="0.3">
      <c r="A1004" t="s">
        <v>225</v>
      </c>
      <c r="B1004" s="2">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9" t="str">
        <f t="shared" si="30"/>
        <v/>
      </c>
      <c r="F1004" t="str">
        <f t="shared" si="31"/>
        <v/>
      </c>
    </row>
    <row r="1005" spans="1:6" ht="15" hidden="1" customHeight="1" x14ac:dyDescent="0.3">
      <c r="A1005" t="s">
        <v>225</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0"/>
        <v/>
      </c>
      <c r="F1005" t="str">
        <f t="shared" si="31"/>
        <v/>
      </c>
    </row>
    <row r="1006" spans="1:6" ht="15" hidden="1" customHeight="1" x14ac:dyDescent="0.3">
      <c r="A1006" t="s">
        <v>225</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0"/>
        <v/>
      </c>
      <c r="F1006" t="str">
        <f t="shared" si="31"/>
        <v/>
      </c>
    </row>
    <row r="1007" spans="1:6" ht="15" hidden="1" customHeight="1" x14ac:dyDescent="0.3">
      <c r="A1007" t="s">
        <v>225</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0"/>
        <v/>
      </c>
      <c r="F1007" t="str">
        <f t="shared" si="31"/>
        <v/>
      </c>
    </row>
    <row r="1008" spans="1:6" ht="15" hidden="1" customHeight="1" x14ac:dyDescent="0.3">
      <c r="A1008" t="s">
        <v>225</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0"/>
        <v/>
      </c>
      <c r="F1008" t="str">
        <f t="shared" si="31"/>
        <v/>
      </c>
    </row>
    <row r="1009" spans="1:6" ht="15" hidden="1" customHeight="1" x14ac:dyDescent="0.3">
      <c r="A1009" t="s">
        <v>225</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0"/>
        <v/>
      </c>
      <c r="F1009" t="str">
        <f t="shared" si="31"/>
        <v/>
      </c>
    </row>
    <row r="1010" spans="1:6" ht="15" hidden="1" customHeight="1" x14ac:dyDescent="0.3">
      <c r="A1010" t="s">
        <v>223</v>
      </c>
      <c r="B1010" s="2">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9" t="str">
        <f t="shared" si="30"/>
        <v/>
      </c>
      <c r="F1010" t="str">
        <f t="shared" si="31"/>
        <v/>
      </c>
    </row>
    <row r="1011" spans="1:6" ht="15" hidden="1" customHeight="1" x14ac:dyDescent="0.3">
      <c r="A1011" t="s">
        <v>223</v>
      </c>
      <c r="B1011" s="2">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9" t="str">
        <f t="shared" si="30"/>
        <v/>
      </c>
      <c r="F1011" t="str">
        <f t="shared" si="31"/>
        <v/>
      </c>
    </row>
    <row r="1012" spans="1:6" ht="15" hidden="1" customHeight="1" x14ac:dyDescent="0.3">
      <c r="A1012" t="s">
        <v>223</v>
      </c>
      <c r="B1012" s="2">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9" t="str">
        <f t="shared" si="30"/>
        <v/>
      </c>
      <c r="F1012" t="str">
        <f t="shared" si="31"/>
        <v/>
      </c>
    </row>
    <row r="1013" spans="1:6" ht="15" hidden="1" customHeight="1" x14ac:dyDescent="0.3">
      <c r="A1013" t="s">
        <v>223</v>
      </c>
      <c r="B1013" s="2">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9" t="str">
        <f t="shared" si="30"/>
        <v/>
      </c>
      <c r="F1013" t="str">
        <f t="shared" si="31"/>
        <v/>
      </c>
    </row>
    <row r="1014" spans="1:6" ht="15" hidden="1" customHeight="1" x14ac:dyDescent="0.3">
      <c r="A1014" t="s">
        <v>223</v>
      </c>
      <c r="B1014" s="2">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9" t="str">
        <f t="shared" si="30"/>
        <v/>
      </c>
      <c r="F1014" t="str">
        <f t="shared" si="31"/>
        <v/>
      </c>
    </row>
    <row r="1015" spans="1:6" ht="15" hidden="1" customHeight="1" x14ac:dyDescent="0.3">
      <c r="A1015" t="s">
        <v>223</v>
      </c>
      <c r="B1015" s="2">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9" t="str">
        <f t="shared" si="30"/>
        <v/>
      </c>
      <c r="F1015" t="str">
        <f t="shared" si="31"/>
        <v/>
      </c>
    </row>
    <row r="1016" spans="1:6" ht="15" hidden="1" customHeight="1" x14ac:dyDescent="0.3">
      <c r="A1016" t="s">
        <v>223</v>
      </c>
      <c r="B1016" s="2">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9" t="str">
        <f t="shared" si="30"/>
        <v/>
      </c>
      <c r="F1016" t="str">
        <f t="shared" si="31"/>
        <v/>
      </c>
    </row>
    <row r="1017" spans="1:6" ht="15" hidden="1" customHeight="1" x14ac:dyDescent="0.3">
      <c r="A1017" t="s">
        <v>223</v>
      </c>
      <c r="B1017" s="2">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9" t="str">
        <f t="shared" si="30"/>
        <v/>
      </c>
      <c r="F1017" t="str">
        <f t="shared" si="31"/>
        <v/>
      </c>
    </row>
    <row r="1018" spans="1:6" ht="15" hidden="1" customHeight="1" x14ac:dyDescent="0.3">
      <c r="A1018" t="s">
        <v>223</v>
      </c>
      <c r="B1018" s="2">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9" t="str">
        <f t="shared" si="30"/>
        <v/>
      </c>
      <c r="F1018" t="str">
        <f t="shared" si="31"/>
        <v/>
      </c>
    </row>
    <row r="1019" spans="1:6" ht="15" hidden="1" customHeight="1" x14ac:dyDescent="0.3">
      <c r="A1019" t="s">
        <v>223</v>
      </c>
      <c r="B1019" s="2">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9" t="str">
        <f t="shared" si="30"/>
        <v/>
      </c>
      <c r="F1019" t="str">
        <f t="shared" si="31"/>
        <v/>
      </c>
    </row>
    <row r="1020" spans="1:6" ht="15" hidden="1" customHeight="1" x14ac:dyDescent="0.3">
      <c r="A1020" t="s">
        <v>223</v>
      </c>
      <c r="B1020" s="2">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9" t="str">
        <f t="shared" si="30"/>
        <v/>
      </c>
      <c r="F1020" t="str">
        <f t="shared" si="31"/>
        <v/>
      </c>
    </row>
    <row r="1021" spans="1:6" ht="15" hidden="1" customHeight="1" x14ac:dyDescent="0.3">
      <c r="A1021" t="s">
        <v>223</v>
      </c>
      <c r="B1021" s="2">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9" t="str">
        <f t="shared" si="30"/>
        <v/>
      </c>
      <c r="F1021" t="str">
        <f t="shared" si="31"/>
        <v/>
      </c>
    </row>
    <row r="1022" spans="1:6" ht="15" hidden="1" customHeight="1" x14ac:dyDescent="0.3">
      <c r="A1022" t="s">
        <v>223</v>
      </c>
      <c r="B1022" s="2">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9" t="str">
        <f t="shared" si="30"/>
        <v/>
      </c>
      <c r="F1022" t="str">
        <f t="shared" si="31"/>
        <v/>
      </c>
    </row>
    <row r="1023" spans="1:6" ht="15" hidden="1" customHeight="1" x14ac:dyDescent="0.3">
      <c r="A1023" t="s">
        <v>223</v>
      </c>
      <c r="B1023" s="2">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9" t="str">
        <f t="shared" si="30"/>
        <v/>
      </c>
      <c r="F1023" t="str">
        <f t="shared" si="31"/>
        <v/>
      </c>
    </row>
    <row r="1024" spans="1:6" ht="15" hidden="1" customHeight="1" x14ac:dyDescent="0.3">
      <c r="A1024" t="s">
        <v>223</v>
      </c>
      <c r="B1024" s="2">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9" t="str">
        <f t="shared" si="30"/>
        <v/>
      </c>
      <c r="F1024" t="str">
        <f t="shared" si="31"/>
        <v/>
      </c>
    </row>
    <row r="1025" spans="1:6" ht="15" hidden="1" customHeight="1" x14ac:dyDescent="0.3">
      <c r="A1025" t="s">
        <v>223</v>
      </c>
      <c r="B1025" s="2">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9" t="str">
        <f t="shared" si="30"/>
        <v/>
      </c>
      <c r="F1025" t="str">
        <f t="shared" si="31"/>
        <v/>
      </c>
    </row>
    <row r="1026" spans="1:6" ht="15" hidden="1" customHeight="1" x14ac:dyDescent="0.3">
      <c r="A1026" t="s">
        <v>223</v>
      </c>
      <c r="B1026" s="2">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9" t="str">
        <f t="shared" ref="E1026:E1089" si="32">IF(OR(C1026="",D1026="",D1026=0),"",C1026/D1026)</f>
        <v/>
      </c>
      <c r="F1026" t="str">
        <f t="shared" ref="F1026:F1089" si="33">IF(E1026="","",IF(E1026&gt;=0.9,"Expected",IF(E1026&gt;=0.7,"Moderate","Poor")))</f>
        <v/>
      </c>
    </row>
    <row r="1027" spans="1:6" ht="15" hidden="1" customHeight="1" x14ac:dyDescent="0.3">
      <c r="A1027" t="s">
        <v>223</v>
      </c>
      <c r="B1027" s="2">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9" t="str">
        <f t="shared" si="32"/>
        <v/>
      </c>
      <c r="F1027" t="str">
        <f t="shared" si="33"/>
        <v/>
      </c>
    </row>
    <row r="1028" spans="1:6" ht="15" hidden="1" customHeight="1" x14ac:dyDescent="0.3">
      <c r="A1028" t="s">
        <v>223</v>
      </c>
      <c r="B1028" s="2">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9" t="str">
        <f t="shared" si="32"/>
        <v/>
      </c>
      <c r="F1028" t="str">
        <f t="shared" si="33"/>
        <v/>
      </c>
    </row>
    <row r="1029" spans="1:6" ht="15" hidden="1" customHeight="1" x14ac:dyDescent="0.3">
      <c r="A1029" t="s">
        <v>223</v>
      </c>
      <c r="B1029" s="2">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9" t="str">
        <f t="shared" si="32"/>
        <v/>
      </c>
      <c r="F1029" t="str">
        <f t="shared" si="33"/>
        <v/>
      </c>
    </row>
    <row r="1030" spans="1:6" ht="15" hidden="1" customHeight="1" x14ac:dyDescent="0.3">
      <c r="A1030" t="s">
        <v>223</v>
      </c>
      <c r="B1030" s="2">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9" t="str">
        <f t="shared" si="32"/>
        <v/>
      </c>
      <c r="F1030" t="str">
        <f t="shared" si="33"/>
        <v/>
      </c>
    </row>
    <row r="1031" spans="1:6" ht="15" hidden="1" customHeight="1" x14ac:dyDescent="0.3">
      <c r="A1031" t="s">
        <v>223</v>
      </c>
      <c r="B1031" s="2">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9" t="str">
        <f t="shared" si="32"/>
        <v/>
      </c>
      <c r="F1031" t="str">
        <f t="shared" si="33"/>
        <v/>
      </c>
    </row>
    <row r="1032" spans="1:6" ht="15" hidden="1" customHeight="1" x14ac:dyDescent="0.3">
      <c r="A1032" t="s">
        <v>223</v>
      </c>
      <c r="B1032" s="2">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9" t="str">
        <f t="shared" si="32"/>
        <v/>
      </c>
      <c r="F1032" t="str">
        <f t="shared" si="33"/>
        <v/>
      </c>
    </row>
    <row r="1033" spans="1:6" ht="15" hidden="1" customHeight="1" x14ac:dyDescent="0.3">
      <c r="A1033" t="s">
        <v>223</v>
      </c>
      <c r="B1033" s="2">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9">
        <f t="shared" si="32"/>
        <v>0.78488489703442965</v>
      </c>
      <c r="F1033" t="str">
        <f t="shared" si="33"/>
        <v>Moderate</v>
      </c>
    </row>
    <row r="1034" spans="1:6" ht="15" hidden="1" customHeight="1" x14ac:dyDescent="0.3">
      <c r="A1034" t="s">
        <v>223</v>
      </c>
      <c r="B1034" s="2">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9">
        <f t="shared" si="32"/>
        <v>0.77956030897207362</v>
      </c>
      <c r="F1034" t="str">
        <f t="shared" si="33"/>
        <v>Moderate</v>
      </c>
    </row>
    <row r="1035" spans="1:6" ht="15" hidden="1" customHeight="1" x14ac:dyDescent="0.3">
      <c r="A1035" t="s">
        <v>223</v>
      </c>
      <c r="B1035" s="2">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9">
        <f t="shared" si="32"/>
        <v>0.82993667242371905</v>
      </c>
      <c r="F1035" t="str">
        <f t="shared" si="33"/>
        <v>Moderate</v>
      </c>
    </row>
    <row r="1036" spans="1:6" ht="15" hidden="1" customHeight="1" x14ac:dyDescent="0.3">
      <c r="A1036" t="s">
        <v>223</v>
      </c>
      <c r="B1036" s="2">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9">
        <f t="shared" si="32"/>
        <v>0.60148947210711334</v>
      </c>
      <c r="F1036" t="str">
        <f t="shared" si="33"/>
        <v>Poor</v>
      </c>
    </row>
    <row r="1037" spans="1:6" ht="15" hidden="1" customHeight="1" x14ac:dyDescent="0.3">
      <c r="A1037" t="s">
        <v>223</v>
      </c>
      <c r="B1037" s="2">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9">
        <f t="shared" si="32"/>
        <v>0.70790878214458997</v>
      </c>
      <c r="F1037" t="str">
        <f t="shared" si="33"/>
        <v>Moderate</v>
      </c>
    </row>
    <row r="1038" spans="1:6" ht="15" hidden="1" customHeight="1" x14ac:dyDescent="0.3">
      <c r="A1038" t="s">
        <v>223</v>
      </c>
      <c r="B1038" s="2">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9">
        <f t="shared" si="32"/>
        <v>0.7257751447330667</v>
      </c>
      <c r="F1038" t="str">
        <f t="shared" si="33"/>
        <v>Moderate</v>
      </c>
    </row>
    <row r="1039" spans="1:6" ht="15" hidden="1" customHeight="1" x14ac:dyDescent="0.3">
      <c r="A1039" t="s">
        <v>223</v>
      </c>
      <c r="B1039" s="2">
        <v>46174</v>
      </c>
      <c r="C1039" cm="1">
        <f t="array" ref="C1039">IFERROR(IF(SUMPRODUCT((measured[Site Name]=A1039)*(measured[Date]=B1039)*ISNUMBER(measured[Measured Value (kWh)]))=0,"",SUMIFS(measured[Measured Value (kWh)],measured[Site Name],A1039,measured[Date],B1039)),"")</f>
        <v>3139.7</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9">
        <f t="shared" si="32"/>
        <v>0.59288843568245331</v>
      </c>
      <c r="F1039" t="str">
        <f t="shared" si="33"/>
        <v>Poor</v>
      </c>
    </row>
    <row r="1040" spans="1:6" ht="15" hidden="1" customHeight="1" x14ac:dyDescent="0.3">
      <c r="A1040" t="s">
        <v>223</v>
      </c>
      <c r="B1040" s="2">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9" t="str">
        <f t="shared" si="32"/>
        <v/>
      </c>
      <c r="F1040" t="str">
        <f t="shared" si="33"/>
        <v/>
      </c>
    </row>
    <row r="1041" spans="1:6" ht="15" hidden="1" customHeight="1" x14ac:dyDescent="0.3">
      <c r="A1041" t="s">
        <v>223</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9" t="str">
        <f t="shared" si="32"/>
        <v/>
      </c>
      <c r="F1041" t="str">
        <f t="shared" si="33"/>
        <v/>
      </c>
    </row>
    <row r="1042" spans="1:6" ht="15" hidden="1" customHeight="1" x14ac:dyDescent="0.3">
      <c r="A1042" t="s">
        <v>223</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9" t="str">
        <f t="shared" si="32"/>
        <v/>
      </c>
      <c r="F1042" t="str">
        <f t="shared" si="33"/>
        <v/>
      </c>
    </row>
    <row r="1043" spans="1:6" ht="15" hidden="1" customHeight="1" x14ac:dyDescent="0.3">
      <c r="A1043" t="s">
        <v>223</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9" t="str">
        <f t="shared" si="32"/>
        <v/>
      </c>
      <c r="F1043" t="str">
        <f t="shared" si="33"/>
        <v/>
      </c>
    </row>
    <row r="1044" spans="1:6" ht="15" hidden="1" customHeight="1" x14ac:dyDescent="0.3">
      <c r="A1044" t="s">
        <v>223</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9" t="str">
        <f t="shared" si="32"/>
        <v/>
      </c>
      <c r="F1044" t="str">
        <f t="shared" si="33"/>
        <v/>
      </c>
    </row>
    <row r="1045" spans="1:6" ht="15" hidden="1" customHeight="1" x14ac:dyDescent="0.3">
      <c r="A1045" t="s">
        <v>223</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9" t="str">
        <f t="shared" si="32"/>
        <v/>
      </c>
      <c r="F1045" t="str">
        <f t="shared" si="33"/>
        <v/>
      </c>
    </row>
    <row r="1046" spans="1:6" ht="15" hidden="1" customHeight="1" x14ac:dyDescent="0.3">
      <c r="A1046" t="s">
        <v>120</v>
      </c>
      <c r="B1046" s="2">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9">
        <f t="shared" si="32"/>
        <v>1.1159420289855073</v>
      </c>
      <c r="F1046" t="str">
        <f t="shared" si="33"/>
        <v>Expected</v>
      </c>
    </row>
    <row r="1047" spans="1:6" ht="15" hidden="1" customHeight="1" x14ac:dyDescent="0.3">
      <c r="A1047" t="s">
        <v>120</v>
      </c>
      <c r="B1047" s="2">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9">
        <f t="shared" si="32"/>
        <v>1.1365592923702759</v>
      </c>
      <c r="F1047" t="str">
        <f t="shared" si="33"/>
        <v>Expected</v>
      </c>
    </row>
    <row r="1048" spans="1:6" ht="15" hidden="1" customHeight="1" x14ac:dyDescent="0.3">
      <c r="A1048" t="s">
        <v>120</v>
      </c>
      <c r="B1048" s="2">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9">
        <f t="shared" si="32"/>
        <v>1.1703440027874301</v>
      </c>
      <c r="F1048" t="str">
        <f t="shared" si="33"/>
        <v>Expected</v>
      </c>
    </row>
    <row r="1049" spans="1:6" ht="15" hidden="1" customHeight="1" x14ac:dyDescent="0.3">
      <c r="A1049" t="s">
        <v>120</v>
      </c>
      <c r="B1049" s="2">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9">
        <f t="shared" si="32"/>
        <v>0.99392745773838831</v>
      </c>
      <c r="F1049" t="str">
        <f t="shared" si="33"/>
        <v>Expected</v>
      </c>
    </row>
    <row r="1050" spans="1:6" ht="15" hidden="1" customHeight="1" x14ac:dyDescent="0.3">
      <c r="A1050" t="s">
        <v>120</v>
      </c>
      <c r="B1050" s="2">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9">
        <f t="shared" si="32"/>
        <v>0.93667085602569466</v>
      </c>
      <c r="F1050" t="str">
        <f t="shared" si="33"/>
        <v>Expected</v>
      </c>
    </row>
    <row r="1051" spans="1:6" ht="15" hidden="1" customHeight="1" x14ac:dyDescent="0.3">
      <c r="A1051" t="s">
        <v>120</v>
      </c>
      <c r="B1051" s="2">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9">
        <f t="shared" si="32"/>
        <v>0.85930786657292391</v>
      </c>
      <c r="F1051" t="str">
        <f t="shared" si="33"/>
        <v>Moderate</v>
      </c>
    </row>
    <row r="1052" spans="1:6" ht="15" hidden="1" customHeight="1" x14ac:dyDescent="0.3">
      <c r="A1052" t="s">
        <v>120</v>
      </c>
      <c r="B1052" s="2">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9">
        <f t="shared" si="32"/>
        <v>0.91592697844671322</v>
      </c>
      <c r="F1052" t="str">
        <f t="shared" si="33"/>
        <v>Expected</v>
      </c>
    </row>
    <row r="1053" spans="1:6" ht="15" hidden="1" customHeight="1" x14ac:dyDescent="0.3">
      <c r="A1053" t="s">
        <v>120</v>
      </c>
      <c r="B1053" s="2">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9">
        <f t="shared" si="32"/>
        <v>0.87684551674468847</v>
      </c>
      <c r="F1053" t="str">
        <f t="shared" si="33"/>
        <v>Moderate</v>
      </c>
    </row>
    <row r="1054" spans="1:6" ht="15" hidden="1" customHeight="1" x14ac:dyDescent="0.3">
      <c r="A1054" t="s">
        <v>120</v>
      </c>
      <c r="B1054" s="2">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9">
        <f t="shared" si="32"/>
        <v>0.86040796494080496</v>
      </c>
      <c r="F1054" t="str">
        <f t="shared" si="33"/>
        <v>Moderate</v>
      </c>
    </row>
    <row r="1055" spans="1:6" ht="15" hidden="1" customHeight="1" x14ac:dyDescent="0.3">
      <c r="A1055" t="s">
        <v>120</v>
      </c>
      <c r="B1055" s="2">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9">
        <f t="shared" si="32"/>
        <v>1.0882956878850103</v>
      </c>
      <c r="F1055" t="str">
        <f t="shared" si="33"/>
        <v>Expected</v>
      </c>
    </row>
    <row r="1056" spans="1:6" ht="15" hidden="1" customHeight="1" x14ac:dyDescent="0.3">
      <c r="A1056" t="s">
        <v>120</v>
      </c>
      <c r="B1056" s="2">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9">
        <f t="shared" si="32"/>
        <v>1.1055872968761595</v>
      </c>
      <c r="F1056" t="str">
        <f t="shared" si="33"/>
        <v>Expected</v>
      </c>
    </row>
    <row r="1057" spans="1:6" ht="15" hidden="1" customHeight="1" x14ac:dyDescent="0.3">
      <c r="A1057" t="s">
        <v>120</v>
      </c>
      <c r="B1057" s="2">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9">
        <f t="shared" si="32"/>
        <v>1.0669528491310669</v>
      </c>
      <c r="F1057" t="str">
        <f t="shared" si="33"/>
        <v>Expected</v>
      </c>
    </row>
    <row r="1058" spans="1:6" ht="15" hidden="1" customHeight="1" x14ac:dyDescent="0.3">
      <c r="A1058" t="s">
        <v>120</v>
      </c>
      <c r="B1058" s="2">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9">
        <f t="shared" si="32"/>
        <v>1.0755752067469091</v>
      </c>
      <c r="F1058" t="str">
        <f t="shared" si="33"/>
        <v>Expected</v>
      </c>
    </row>
    <row r="1059" spans="1:6" ht="15" hidden="1" customHeight="1" x14ac:dyDescent="0.3">
      <c r="A1059" t="s">
        <v>120</v>
      </c>
      <c r="B1059" s="2">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9">
        <f t="shared" si="32"/>
        <v>1.0050612553805403</v>
      </c>
      <c r="F1059" t="str">
        <f t="shared" si="33"/>
        <v>Expected</v>
      </c>
    </row>
    <row r="1060" spans="1:6" ht="15" hidden="1" customHeight="1" x14ac:dyDescent="0.3">
      <c r="A1060" t="s">
        <v>120</v>
      </c>
      <c r="B1060" s="2">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9">
        <f t="shared" si="32"/>
        <v>0.98125076513075493</v>
      </c>
      <c r="F1060" t="str">
        <f t="shared" si="33"/>
        <v>Expected</v>
      </c>
    </row>
    <row r="1061" spans="1:6" ht="15" hidden="1" customHeight="1" x14ac:dyDescent="0.3">
      <c r="A1061" t="s">
        <v>120</v>
      </c>
      <c r="B1061" s="2">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9">
        <f t="shared" si="32"/>
        <v>0.80868756496526073</v>
      </c>
      <c r="F1061" t="str">
        <f t="shared" si="33"/>
        <v>Moderate</v>
      </c>
    </row>
    <row r="1062" spans="1:6" ht="15" hidden="1" customHeight="1" x14ac:dyDescent="0.3">
      <c r="A1062" t="s">
        <v>120</v>
      </c>
      <c r="B1062" s="2">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9">
        <f t="shared" si="32"/>
        <v>0.92480100544616661</v>
      </c>
      <c r="F1062" t="str">
        <f t="shared" si="33"/>
        <v>Expected</v>
      </c>
    </row>
    <row r="1063" spans="1:6" ht="15" hidden="1" customHeight="1" x14ac:dyDescent="0.3">
      <c r="A1063" t="s">
        <v>120</v>
      </c>
      <c r="B1063" s="2">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9">
        <f t="shared" si="32"/>
        <v>0.832048277478322</v>
      </c>
      <c r="F1063" t="str">
        <f t="shared" si="33"/>
        <v>Moderate</v>
      </c>
    </row>
    <row r="1064" spans="1:6" ht="15" hidden="1" customHeight="1" x14ac:dyDescent="0.3">
      <c r="A1064" t="s">
        <v>120</v>
      </c>
      <c r="B1064" s="2">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9">
        <f t="shared" si="32"/>
        <v>0.83570150510472585</v>
      </c>
      <c r="F1064" t="str">
        <f t="shared" si="33"/>
        <v>Moderate</v>
      </c>
    </row>
    <row r="1065" spans="1:6" ht="15" hidden="1" customHeight="1" x14ac:dyDescent="0.3">
      <c r="A1065" t="s">
        <v>120</v>
      </c>
      <c r="B1065" s="2">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9">
        <f t="shared" si="32"/>
        <v>0.73980714600088016</v>
      </c>
      <c r="F1065" t="str">
        <f t="shared" si="33"/>
        <v>Moderate</v>
      </c>
    </row>
    <row r="1066" spans="1:6" ht="15" hidden="1" customHeight="1" x14ac:dyDescent="0.3">
      <c r="A1066" t="s">
        <v>120</v>
      </c>
      <c r="B1066" s="2">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9">
        <f t="shared" si="32"/>
        <v>0.76248142853138234</v>
      </c>
      <c r="F1066" t="str">
        <f t="shared" si="33"/>
        <v>Moderate</v>
      </c>
    </row>
    <row r="1067" spans="1:6" ht="15" hidden="1" customHeight="1" x14ac:dyDescent="0.3">
      <c r="A1067" t="s">
        <v>120</v>
      </c>
      <c r="B1067" s="2">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9">
        <f t="shared" si="32"/>
        <v>0.91819403249930287</v>
      </c>
      <c r="F1067" t="str">
        <f t="shared" si="33"/>
        <v>Expected</v>
      </c>
    </row>
    <row r="1068" spans="1:6" ht="15" hidden="1" customHeight="1" x14ac:dyDescent="0.3">
      <c r="A1068" t="s">
        <v>120</v>
      </c>
      <c r="B1068" s="2">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9">
        <f t="shared" si="32"/>
        <v>0.87490621882548869</v>
      </c>
      <c r="F1068" t="str">
        <f t="shared" si="33"/>
        <v>Moderate</v>
      </c>
    </row>
    <row r="1069" spans="1:6" ht="15" hidden="1" customHeight="1" x14ac:dyDescent="0.3">
      <c r="A1069" t="s">
        <v>120</v>
      </c>
      <c r="B1069" s="2">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9">
        <f t="shared" si="32"/>
        <v>0.86439413172086432</v>
      </c>
      <c r="F1069" t="str">
        <f t="shared" si="33"/>
        <v>Moderate</v>
      </c>
    </row>
    <row r="1070" spans="1:6" ht="15" hidden="1" customHeight="1" x14ac:dyDescent="0.3">
      <c r="A1070" t="s">
        <v>120</v>
      </c>
      <c r="B1070" s="2">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9">
        <f t="shared" si="32"/>
        <v>1.0936706787849013</v>
      </c>
      <c r="F1070" t="str">
        <f t="shared" si="33"/>
        <v>Expected</v>
      </c>
    </row>
    <row r="1071" spans="1:6" ht="15" hidden="1" customHeight="1" x14ac:dyDescent="0.3">
      <c r="A1071" t="s">
        <v>120</v>
      </c>
      <c r="B1071" s="2">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9">
        <f t="shared" si="32"/>
        <v>0.88595619885530486</v>
      </c>
      <c r="F1071" t="str">
        <f t="shared" si="33"/>
        <v>Moderate</v>
      </c>
    </row>
    <row r="1072" spans="1:6" ht="15" hidden="1" customHeight="1" x14ac:dyDescent="0.3">
      <c r="A1072" t="s">
        <v>120</v>
      </c>
      <c r="B1072" s="2">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9">
        <f t="shared" si="32"/>
        <v>0.73584390390899412</v>
      </c>
      <c r="F1072" t="str">
        <f t="shared" si="33"/>
        <v>Moderate</v>
      </c>
    </row>
    <row r="1073" spans="1:6" ht="15" hidden="1" customHeight="1" x14ac:dyDescent="0.3">
      <c r="A1073" t="s">
        <v>120</v>
      </c>
      <c r="B1073" s="2">
        <v>46113</v>
      </c>
      <c r="C1073" s="5"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9">
        <f t="shared" si="32"/>
        <v>0.61267684227802399</v>
      </c>
      <c r="F1073" t="str">
        <f t="shared" si="33"/>
        <v>Poor</v>
      </c>
    </row>
    <row r="1074" spans="1:6" ht="15" hidden="1" customHeight="1" x14ac:dyDescent="0.3">
      <c r="A1074" t="s">
        <v>120</v>
      </c>
      <c r="B1074" s="2">
        <v>46143</v>
      </c>
      <c r="C1074" s="5"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9">
        <f t="shared" si="32"/>
        <v>0.68283759251501186</v>
      </c>
      <c r="F1074" t="str">
        <f t="shared" si="33"/>
        <v>Poor</v>
      </c>
    </row>
    <row r="1075" spans="1:6" ht="15" hidden="1" customHeight="1" x14ac:dyDescent="0.3">
      <c r="A1075" t="s">
        <v>120</v>
      </c>
      <c r="B1075" s="2">
        <v>46174</v>
      </c>
      <c r="C1075" cm="1">
        <f t="array" ref="C1075">IFERROR(IF(SUMPRODUCT((measured[Site Name]=A1075)*(measured[Date]=B1075)*ISNUMBER(measured[Measured Value (kWh)]))=0,"",SUMIFS(measured[Measured Value (kWh)],measured[Site Name],A1075,measured[Date],B1075)),"")</f>
        <v>4645.3100000000004</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9">
        <f t="shared" si="32"/>
        <v>0.60481082207119241</v>
      </c>
      <c r="F1075" t="str">
        <f t="shared" si="33"/>
        <v>Poor</v>
      </c>
    </row>
    <row r="1076" spans="1:6" ht="15" hidden="1" customHeight="1" x14ac:dyDescent="0.3">
      <c r="A1076" t="s">
        <v>120</v>
      </c>
      <c r="B1076" s="2">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9" t="str">
        <f t="shared" si="32"/>
        <v/>
      </c>
      <c r="F1076" t="str">
        <f t="shared" si="33"/>
        <v/>
      </c>
    </row>
    <row r="1077" spans="1:6" ht="15" hidden="1" customHeight="1" x14ac:dyDescent="0.3">
      <c r="A1077" t="s">
        <v>120</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9" t="str">
        <f t="shared" si="32"/>
        <v/>
      </c>
      <c r="F1077" t="str">
        <f t="shared" si="33"/>
        <v/>
      </c>
    </row>
    <row r="1078" spans="1:6" ht="15" hidden="1" customHeight="1" x14ac:dyDescent="0.3">
      <c r="A1078" t="s">
        <v>120</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9" t="str">
        <f t="shared" si="32"/>
        <v/>
      </c>
      <c r="F1078" t="str">
        <f t="shared" si="33"/>
        <v/>
      </c>
    </row>
    <row r="1079" spans="1:6" ht="15" hidden="1" customHeight="1" x14ac:dyDescent="0.3">
      <c r="A1079" t="s">
        <v>120</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9" t="str">
        <f t="shared" si="32"/>
        <v/>
      </c>
      <c r="F1079" t="str">
        <f t="shared" si="33"/>
        <v/>
      </c>
    </row>
    <row r="1080" spans="1:6" ht="15" hidden="1" customHeight="1" x14ac:dyDescent="0.3">
      <c r="A1080" t="s">
        <v>120</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9" t="str">
        <f t="shared" si="32"/>
        <v/>
      </c>
      <c r="F1080" t="str">
        <f t="shared" si="33"/>
        <v/>
      </c>
    </row>
    <row r="1081" spans="1:6" ht="15" hidden="1" customHeight="1" x14ac:dyDescent="0.3">
      <c r="A1081" t="s">
        <v>120</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9" t="str">
        <f t="shared" si="32"/>
        <v/>
      </c>
      <c r="F1081" t="str">
        <f t="shared" si="33"/>
        <v/>
      </c>
    </row>
    <row r="1082" spans="1:6" ht="15" hidden="1" customHeight="1" x14ac:dyDescent="0.3">
      <c r="A1082" t="s">
        <v>236</v>
      </c>
      <c r="B1082" s="2">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9" t="str">
        <f t="shared" si="32"/>
        <v/>
      </c>
      <c r="F1082" t="str">
        <f t="shared" si="33"/>
        <v/>
      </c>
    </row>
    <row r="1083" spans="1:6" ht="15" hidden="1" customHeight="1" x14ac:dyDescent="0.3">
      <c r="A1083" t="s">
        <v>236</v>
      </c>
      <c r="B1083" s="2">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9" t="str">
        <f t="shared" si="32"/>
        <v/>
      </c>
      <c r="F1083" t="str">
        <f t="shared" si="33"/>
        <v/>
      </c>
    </row>
    <row r="1084" spans="1:6" ht="15" hidden="1" customHeight="1" x14ac:dyDescent="0.3">
      <c r="A1084" t="s">
        <v>236</v>
      </c>
      <c r="B1084" s="2">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9" t="str">
        <f t="shared" si="32"/>
        <v/>
      </c>
      <c r="F1084" t="str">
        <f t="shared" si="33"/>
        <v/>
      </c>
    </row>
    <row r="1085" spans="1:6" ht="15" hidden="1" customHeight="1" x14ac:dyDescent="0.3">
      <c r="A1085" t="s">
        <v>236</v>
      </c>
      <c r="B1085" s="2">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9" t="str">
        <f t="shared" si="32"/>
        <v/>
      </c>
      <c r="F1085" t="str">
        <f t="shared" si="33"/>
        <v/>
      </c>
    </row>
    <row r="1086" spans="1:6" ht="15" hidden="1" customHeight="1" x14ac:dyDescent="0.3">
      <c r="A1086" t="s">
        <v>236</v>
      </c>
      <c r="B1086" s="2">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9" t="str">
        <f t="shared" si="32"/>
        <v/>
      </c>
      <c r="F1086" t="str">
        <f t="shared" si="33"/>
        <v/>
      </c>
    </row>
    <row r="1087" spans="1:6" ht="15" hidden="1" customHeight="1" x14ac:dyDescent="0.3">
      <c r="A1087" t="s">
        <v>236</v>
      </c>
      <c r="B1087" s="2">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9" t="str">
        <f t="shared" si="32"/>
        <v/>
      </c>
      <c r="F1087" t="str">
        <f t="shared" si="33"/>
        <v/>
      </c>
    </row>
    <row r="1088" spans="1:6" ht="15" hidden="1" customHeight="1" x14ac:dyDescent="0.3">
      <c r="A1088" t="s">
        <v>236</v>
      </c>
      <c r="B1088" s="2">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9" t="str">
        <f t="shared" si="32"/>
        <v/>
      </c>
      <c r="F1088" t="str">
        <f t="shared" si="33"/>
        <v/>
      </c>
    </row>
    <row r="1089" spans="1:6" ht="15" hidden="1" customHeight="1" x14ac:dyDescent="0.3">
      <c r="A1089" t="s">
        <v>236</v>
      </c>
      <c r="B1089" s="2">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9" t="str">
        <f t="shared" si="32"/>
        <v/>
      </c>
      <c r="F1089" t="str">
        <f t="shared" si="33"/>
        <v/>
      </c>
    </row>
    <row r="1090" spans="1:6" ht="15" hidden="1" customHeight="1" x14ac:dyDescent="0.3">
      <c r="A1090" t="s">
        <v>236</v>
      </c>
      <c r="B1090" s="2">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9" t="str">
        <f t="shared" ref="E1090:E1153" si="34">IF(OR(C1090="",D1090="",D1090=0),"",C1090/D1090)</f>
        <v/>
      </c>
      <c r="F1090" t="str">
        <f t="shared" ref="F1090:F1153" si="35">IF(E1090="","",IF(E1090&gt;=0.9,"Expected",IF(E1090&gt;=0.7,"Moderate","Poor")))</f>
        <v/>
      </c>
    </row>
    <row r="1091" spans="1:6" ht="15" hidden="1" customHeight="1" x14ac:dyDescent="0.3">
      <c r="A1091" t="s">
        <v>236</v>
      </c>
      <c r="B1091" s="2">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9" t="str">
        <f t="shared" si="34"/>
        <v/>
      </c>
      <c r="F1091" t="str">
        <f t="shared" si="35"/>
        <v/>
      </c>
    </row>
    <row r="1092" spans="1:6" ht="15" hidden="1" customHeight="1" x14ac:dyDescent="0.3">
      <c r="A1092" t="s">
        <v>236</v>
      </c>
      <c r="B1092" s="2">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9" t="str">
        <f t="shared" si="34"/>
        <v/>
      </c>
      <c r="F1092" t="str">
        <f t="shared" si="35"/>
        <v/>
      </c>
    </row>
    <row r="1093" spans="1:6" ht="15" hidden="1" customHeight="1" x14ac:dyDescent="0.3">
      <c r="A1093" t="s">
        <v>236</v>
      </c>
      <c r="B1093" s="2">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9" t="str">
        <f t="shared" si="34"/>
        <v/>
      </c>
      <c r="F1093" t="str">
        <f t="shared" si="35"/>
        <v/>
      </c>
    </row>
    <row r="1094" spans="1:6" ht="15" hidden="1" customHeight="1" x14ac:dyDescent="0.3">
      <c r="A1094" t="s">
        <v>236</v>
      </c>
      <c r="B1094" s="2">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9" t="str">
        <f t="shared" si="34"/>
        <v/>
      </c>
      <c r="F1094" t="str">
        <f t="shared" si="35"/>
        <v/>
      </c>
    </row>
    <row r="1095" spans="1:6" ht="15" hidden="1" customHeight="1" x14ac:dyDescent="0.3">
      <c r="A1095" t="s">
        <v>236</v>
      </c>
      <c r="B1095" s="2">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9" t="str">
        <f t="shared" si="34"/>
        <v/>
      </c>
      <c r="F1095" t="str">
        <f t="shared" si="35"/>
        <v/>
      </c>
    </row>
    <row r="1096" spans="1:6" ht="15" hidden="1" customHeight="1" x14ac:dyDescent="0.3">
      <c r="A1096" t="s">
        <v>236</v>
      </c>
      <c r="B1096" s="2">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9" t="str">
        <f t="shared" si="34"/>
        <v/>
      </c>
      <c r="F1096" t="str">
        <f t="shared" si="35"/>
        <v/>
      </c>
    </row>
    <row r="1097" spans="1:6" ht="15" hidden="1" customHeight="1" x14ac:dyDescent="0.3">
      <c r="A1097" t="s">
        <v>236</v>
      </c>
      <c r="B1097" s="2">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9" t="str">
        <f t="shared" si="34"/>
        <v/>
      </c>
      <c r="F1097" t="str">
        <f t="shared" si="35"/>
        <v/>
      </c>
    </row>
    <row r="1098" spans="1:6" ht="15" hidden="1" customHeight="1" x14ac:dyDescent="0.3">
      <c r="A1098" t="s">
        <v>236</v>
      </c>
      <c r="B1098" s="2">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9" t="str">
        <f t="shared" si="34"/>
        <v/>
      </c>
      <c r="F1098" t="str">
        <f t="shared" si="35"/>
        <v/>
      </c>
    </row>
    <row r="1099" spans="1:6" ht="15" hidden="1" customHeight="1" x14ac:dyDescent="0.3">
      <c r="A1099" t="s">
        <v>236</v>
      </c>
      <c r="B1099" s="2">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9" t="str">
        <f t="shared" si="34"/>
        <v/>
      </c>
      <c r="F1099" t="str">
        <f t="shared" si="35"/>
        <v/>
      </c>
    </row>
    <row r="1100" spans="1:6" ht="15" hidden="1" customHeight="1" x14ac:dyDescent="0.3">
      <c r="A1100" t="s">
        <v>236</v>
      </c>
      <c r="B1100" s="2">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9" t="str">
        <f t="shared" si="34"/>
        <v/>
      </c>
      <c r="F1100" t="str">
        <f t="shared" si="35"/>
        <v/>
      </c>
    </row>
    <row r="1101" spans="1:6" ht="15" hidden="1" customHeight="1" x14ac:dyDescent="0.3">
      <c r="A1101" t="s">
        <v>236</v>
      </c>
      <c r="B1101" s="2">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9" t="str">
        <f t="shared" si="34"/>
        <v/>
      </c>
      <c r="F1101" t="str">
        <f t="shared" si="35"/>
        <v/>
      </c>
    </row>
    <row r="1102" spans="1:6" ht="15" hidden="1" customHeight="1" x14ac:dyDescent="0.3">
      <c r="A1102" t="s">
        <v>236</v>
      </c>
      <c r="B1102" s="2">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9" t="str">
        <f t="shared" si="34"/>
        <v/>
      </c>
      <c r="F1102" t="str">
        <f t="shared" si="35"/>
        <v/>
      </c>
    </row>
    <row r="1103" spans="1:6" ht="15" hidden="1" customHeight="1" x14ac:dyDescent="0.3">
      <c r="A1103" t="s">
        <v>236</v>
      </c>
      <c r="B1103" s="2">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9" t="str">
        <f t="shared" si="34"/>
        <v/>
      </c>
      <c r="F1103" t="str">
        <f t="shared" si="35"/>
        <v/>
      </c>
    </row>
    <row r="1104" spans="1:6" ht="15" hidden="1" customHeight="1" x14ac:dyDescent="0.3">
      <c r="A1104" t="s">
        <v>236</v>
      </c>
      <c r="B1104" s="2">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9" t="str">
        <f t="shared" si="34"/>
        <v/>
      </c>
      <c r="F1104" t="str">
        <f t="shared" si="35"/>
        <v/>
      </c>
    </row>
    <row r="1105" spans="1:6" ht="15" hidden="1" customHeight="1" x14ac:dyDescent="0.3">
      <c r="A1105" t="s">
        <v>236</v>
      </c>
      <c r="B1105" s="2">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9" t="str">
        <f t="shared" si="34"/>
        <v/>
      </c>
      <c r="F1105" t="str">
        <f t="shared" si="35"/>
        <v/>
      </c>
    </row>
    <row r="1106" spans="1:6" ht="15" hidden="1" customHeight="1" x14ac:dyDescent="0.3">
      <c r="A1106" t="s">
        <v>236</v>
      </c>
      <c r="B1106" s="2">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9" t="str">
        <f t="shared" si="34"/>
        <v/>
      </c>
      <c r="F1106" t="str">
        <f t="shared" si="35"/>
        <v/>
      </c>
    </row>
    <row r="1107" spans="1:6" ht="15" hidden="1" customHeight="1" x14ac:dyDescent="0.3">
      <c r="A1107" t="s">
        <v>236</v>
      </c>
      <c r="B1107" s="2">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9" t="str">
        <f t="shared" si="34"/>
        <v/>
      </c>
      <c r="F1107" t="str">
        <f t="shared" si="35"/>
        <v/>
      </c>
    </row>
    <row r="1108" spans="1:6" ht="15" hidden="1" customHeight="1" x14ac:dyDescent="0.3">
      <c r="A1108" t="s">
        <v>236</v>
      </c>
      <c r="B1108" s="2">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9" t="str">
        <f t="shared" si="34"/>
        <v/>
      </c>
      <c r="F1108" t="str">
        <f t="shared" si="35"/>
        <v/>
      </c>
    </row>
    <row r="1109" spans="1:6" ht="15" hidden="1" customHeight="1" x14ac:dyDescent="0.3">
      <c r="A1109" t="s">
        <v>236</v>
      </c>
      <c r="B1109" s="2">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9" t="str">
        <f t="shared" si="34"/>
        <v/>
      </c>
      <c r="F1109" t="str">
        <f t="shared" si="35"/>
        <v/>
      </c>
    </row>
    <row r="1110" spans="1:6" ht="15" hidden="1" customHeight="1" x14ac:dyDescent="0.3">
      <c r="A1110" t="s">
        <v>236</v>
      </c>
      <c r="B1110" s="2">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9" t="str">
        <f t="shared" si="34"/>
        <v/>
      </c>
      <c r="F1110" t="str">
        <f t="shared" si="35"/>
        <v/>
      </c>
    </row>
    <row r="1111" spans="1:6" ht="15" hidden="1" customHeight="1" x14ac:dyDescent="0.3">
      <c r="A1111" t="s">
        <v>236</v>
      </c>
      <c r="B1111" s="2">
        <v>46174</v>
      </c>
      <c r="C1111" cm="1">
        <f t="array" ref="C1111">IFERROR(IF(SUMPRODUCT((measured[Site Name]=A1111)*(measured[Date]=B1111)*ISNUMBER(measured[Measured Value (kWh)]))=0,"",SUMIFS(measured[Measured Value (kWh)],measured[Site Name],A1111,measured[Date],B1111)),"")</f>
        <v>5060.3999999999996</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9" t="str">
        <f t="shared" si="34"/>
        <v/>
      </c>
      <c r="F1111" t="str">
        <f t="shared" si="35"/>
        <v/>
      </c>
    </row>
    <row r="1112" spans="1:6" ht="15" hidden="1" customHeight="1" x14ac:dyDescent="0.3">
      <c r="A1112" t="s">
        <v>236</v>
      </c>
      <c r="B1112" s="2">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9" t="str">
        <f t="shared" si="34"/>
        <v/>
      </c>
      <c r="F1112" t="str">
        <f t="shared" si="35"/>
        <v/>
      </c>
    </row>
    <row r="1113" spans="1:6" ht="15" hidden="1" customHeight="1" x14ac:dyDescent="0.3">
      <c r="A1113" t="s">
        <v>236</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9" t="str">
        <f t="shared" si="34"/>
        <v/>
      </c>
      <c r="F1113" t="str">
        <f t="shared" si="35"/>
        <v/>
      </c>
    </row>
    <row r="1114" spans="1:6" ht="15" hidden="1" customHeight="1" x14ac:dyDescent="0.3">
      <c r="A1114" t="s">
        <v>236</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9" t="str">
        <f t="shared" si="34"/>
        <v/>
      </c>
      <c r="F1114" t="str">
        <f t="shared" si="35"/>
        <v/>
      </c>
    </row>
    <row r="1115" spans="1:6" ht="15" hidden="1" customHeight="1" x14ac:dyDescent="0.3">
      <c r="A1115" t="s">
        <v>236</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9" t="str">
        <f t="shared" si="34"/>
        <v/>
      </c>
      <c r="F1115" t="str">
        <f t="shared" si="35"/>
        <v/>
      </c>
    </row>
    <row r="1116" spans="1:6" ht="15" hidden="1" customHeight="1" x14ac:dyDescent="0.3">
      <c r="A1116" t="s">
        <v>236</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9" t="str">
        <f t="shared" si="34"/>
        <v/>
      </c>
      <c r="F1116" t="str">
        <f t="shared" si="35"/>
        <v/>
      </c>
    </row>
    <row r="1117" spans="1:6" ht="15" hidden="1" customHeight="1" x14ac:dyDescent="0.3">
      <c r="A1117" t="s">
        <v>236</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9" t="str">
        <f t="shared" si="34"/>
        <v/>
      </c>
      <c r="F1117" t="str">
        <f t="shared" si="35"/>
        <v/>
      </c>
    </row>
    <row r="1118" spans="1:6" ht="15" hidden="1" customHeight="1" x14ac:dyDescent="0.3">
      <c r="A1118" t="s">
        <v>122</v>
      </c>
      <c r="B1118" s="2">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9">
        <f t="shared" si="34"/>
        <v>0.8493955048400077</v>
      </c>
      <c r="F1118" t="str">
        <f t="shared" si="35"/>
        <v>Moderate</v>
      </c>
    </row>
    <row r="1119" spans="1:6" ht="15" hidden="1" customHeight="1" x14ac:dyDescent="0.3">
      <c r="A1119" t="s">
        <v>122</v>
      </c>
      <c r="B1119" s="2">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9">
        <f t="shared" si="34"/>
        <v>0.9561560449955786</v>
      </c>
      <c r="F1119" t="str">
        <f t="shared" si="35"/>
        <v>Expected</v>
      </c>
    </row>
    <row r="1120" spans="1:6" ht="15" hidden="1" customHeight="1" x14ac:dyDescent="0.3">
      <c r="A1120" t="s">
        <v>122</v>
      </c>
      <c r="B1120" s="2">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9">
        <f t="shared" si="34"/>
        <v>0.95008939974457218</v>
      </c>
      <c r="F1120" t="str">
        <f t="shared" si="35"/>
        <v>Expected</v>
      </c>
    </row>
    <row r="1121" spans="1:6" ht="15" hidden="1" customHeight="1" x14ac:dyDescent="0.3">
      <c r="A1121" t="s">
        <v>122</v>
      </c>
      <c r="B1121" s="2">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9">
        <f t="shared" si="34"/>
        <v>0.99276229554909678</v>
      </c>
      <c r="F1121" t="str">
        <f t="shared" si="35"/>
        <v>Expected</v>
      </c>
    </row>
    <row r="1122" spans="1:6" ht="15" hidden="1" customHeight="1" x14ac:dyDescent="0.3">
      <c r="A1122" t="s">
        <v>122</v>
      </c>
      <c r="B1122" s="2">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9">
        <f t="shared" si="34"/>
        <v>1.0823965869040995</v>
      </c>
      <c r="F1122" t="str">
        <f t="shared" si="35"/>
        <v>Expected</v>
      </c>
    </row>
    <row r="1123" spans="1:6" ht="15" hidden="1" customHeight="1" x14ac:dyDescent="0.3">
      <c r="A1123" t="s">
        <v>122</v>
      </c>
      <c r="B1123" s="2">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9">
        <f t="shared" si="34"/>
        <v>1.0511513591976775</v>
      </c>
      <c r="F1123" t="str">
        <f t="shared" si="35"/>
        <v>Expected</v>
      </c>
    </row>
    <row r="1124" spans="1:6" ht="15" hidden="1" customHeight="1" x14ac:dyDescent="0.3">
      <c r="A1124" t="s">
        <v>122</v>
      </c>
      <c r="B1124" s="2">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9">
        <f t="shared" si="34"/>
        <v>1.1300431314172297</v>
      </c>
      <c r="F1124" t="str">
        <f t="shared" si="35"/>
        <v>Expected</v>
      </c>
    </row>
    <row r="1125" spans="1:6" ht="15" hidden="1" customHeight="1" x14ac:dyDescent="0.3">
      <c r="A1125" t="s">
        <v>122</v>
      </c>
      <c r="B1125" s="2">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9">
        <f t="shared" si="34"/>
        <v>1.031759901102244</v>
      </c>
      <c r="F1125" t="str">
        <f t="shared" si="35"/>
        <v>Expected</v>
      </c>
    </row>
    <row r="1126" spans="1:6" ht="15" hidden="1" customHeight="1" x14ac:dyDescent="0.3">
      <c r="A1126" t="s">
        <v>122</v>
      </c>
      <c r="B1126" s="2">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9">
        <f t="shared" si="34"/>
        <v>0.83860969403138075</v>
      </c>
      <c r="F1126" t="str">
        <f t="shared" si="35"/>
        <v>Moderate</v>
      </c>
    </row>
    <row r="1127" spans="1:6" ht="15" hidden="1" customHeight="1" x14ac:dyDescent="0.3">
      <c r="A1127" t="s">
        <v>122</v>
      </c>
      <c r="B1127" s="2">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9">
        <f t="shared" si="34"/>
        <v>1.0239903668025194</v>
      </c>
      <c r="F1127" t="str">
        <f t="shared" si="35"/>
        <v>Expected</v>
      </c>
    </row>
    <row r="1128" spans="1:6" ht="15" hidden="1" customHeight="1" x14ac:dyDescent="0.3">
      <c r="A1128" t="s">
        <v>122</v>
      </c>
      <c r="B1128" s="2">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9">
        <f t="shared" si="34"/>
        <v>0.90566999490270161</v>
      </c>
      <c r="F1128" t="str">
        <f t="shared" si="35"/>
        <v>Expected</v>
      </c>
    </row>
    <row r="1129" spans="1:6" ht="15" hidden="1" customHeight="1" x14ac:dyDescent="0.3">
      <c r="A1129" t="s">
        <v>122</v>
      </c>
      <c r="B1129" s="2">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9">
        <f t="shared" si="34"/>
        <v>0.84076030881986696</v>
      </c>
      <c r="F1129" t="str">
        <f t="shared" si="35"/>
        <v>Moderate</v>
      </c>
    </row>
    <row r="1130" spans="1:6" ht="15" hidden="1" customHeight="1" x14ac:dyDescent="0.3">
      <c r="A1130" t="s">
        <v>122</v>
      </c>
      <c r="B1130" s="2">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9">
        <f t="shared" si="34"/>
        <v>0.89503050576169985</v>
      </c>
      <c r="F1130" t="str">
        <f t="shared" si="35"/>
        <v>Moderate</v>
      </c>
    </row>
    <row r="1131" spans="1:6" ht="15" hidden="1" customHeight="1" x14ac:dyDescent="0.3">
      <c r="A1131" t="s">
        <v>122</v>
      </c>
      <c r="B1131" s="2">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9">
        <f t="shared" si="34"/>
        <v>0.78366956629033258</v>
      </c>
      <c r="F1131" t="str">
        <f t="shared" si="35"/>
        <v>Moderate</v>
      </c>
    </row>
    <row r="1132" spans="1:6" ht="15" hidden="1" customHeight="1" x14ac:dyDescent="0.3">
      <c r="A1132" t="s">
        <v>122</v>
      </c>
      <c r="B1132" s="2">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9">
        <f t="shared" si="34"/>
        <v>0.91867177522349941</v>
      </c>
      <c r="F1132" t="str">
        <f t="shared" si="35"/>
        <v>Expected</v>
      </c>
    </row>
    <row r="1133" spans="1:6" ht="15" hidden="1" customHeight="1" x14ac:dyDescent="0.3">
      <c r="A1133" t="s">
        <v>122</v>
      </c>
      <c r="B1133" s="2">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9">
        <f t="shared" si="34"/>
        <v>0.86390202820361828</v>
      </c>
      <c r="F1133" t="str">
        <f t="shared" si="35"/>
        <v>Moderate</v>
      </c>
    </row>
    <row r="1134" spans="1:6" ht="15" hidden="1" customHeight="1" x14ac:dyDescent="0.3">
      <c r="A1134" t="s">
        <v>122</v>
      </c>
      <c r="B1134" s="2">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9">
        <f t="shared" si="34"/>
        <v>1.186644407345576</v>
      </c>
      <c r="F1134" t="str">
        <f t="shared" si="35"/>
        <v>Expected</v>
      </c>
    </row>
    <row r="1135" spans="1:6" ht="15" hidden="1" customHeight="1" x14ac:dyDescent="0.3">
      <c r="A1135" t="s">
        <v>122</v>
      </c>
      <c r="B1135" s="2">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9">
        <f t="shared" si="34"/>
        <v>1.0969945896014781</v>
      </c>
      <c r="F1135" t="str">
        <f t="shared" si="35"/>
        <v>Expected</v>
      </c>
    </row>
    <row r="1136" spans="1:6" ht="15" hidden="1" customHeight="1" x14ac:dyDescent="0.3">
      <c r="A1136" t="s">
        <v>122</v>
      </c>
      <c r="B1136" s="2">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9">
        <f t="shared" si="34"/>
        <v>0.93583724569640059</v>
      </c>
      <c r="F1136" t="str">
        <f t="shared" si="35"/>
        <v>Expected</v>
      </c>
    </row>
    <row r="1137" spans="1:6" ht="15" hidden="1" customHeight="1" x14ac:dyDescent="0.3">
      <c r="A1137" t="s">
        <v>122</v>
      </c>
      <c r="B1137" s="2">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9">
        <f t="shared" si="34"/>
        <v>0.96392950298699709</v>
      </c>
      <c r="F1137" t="str">
        <f t="shared" si="35"/>
        <v>Expected</v>
      </c>
    </row>
    <row r="1138" spans="1:6" ht="15" hidden="1" customHeight="1" x14ac:dyDescent="0.3">
      <c r="A1138" t="s">
        <v>122</v>
      </c>
      <c r="B1138" s="2">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9">
        <f t="shared" si="34"/>
        <v>0.82673034480263385</v>
      </c>
      <c r="F1138" t="str">
        <f t="shared" si="35"/>
        <v>Moderate</v>
      </c>
    </row>
    <row r="1139" spans="1:6" ht="15" hidden="1" customHeight="1" x14ac:dyDescent="0.3">
      <c r="A1139" t="s">
        <v>122</v>
      </c>
      <c r="B1139" s="2">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9">
        <f t="shared" si="34"/>
        <v>0.89086492939771933</v>
      </c>
      <c r="F1139" t="str">
        <f t="shared" si="35"/>
        <v>Moderate</v>
      </c>
    </row>
    <row r="1140" spans="1:6" ht="15" hidden="1" customHeight="1" x14ac:dyDescent="0.3">
      <c r="A1140" t="s">
        <v>122</v>
      </c>
      <c r="B1140" s="2">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9">
        <f t="shared" si="34"/>
        <v>0.98687695521373675</v>
      </c>
      <c r="F1140" t="str">
        <f t="shared" si="35"/>
        <v>Expected</v>
      </c>
    </row>
    <row r="1141" spans="1:6" ht="15" hidden="1" customHeight="1" x14ac:dyDescent="0.3">
      <c r="A1141" t="s">
        <v>122</v>
      </c>
      <c r="B1141" s="2">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9">
        <f t="shared" si="34"/>
        <v>0.88100828974988443</v>
      </c>
      <c r="F1141" t="str">
        <f t="shared" si="35"/>
        <v>Moderate</v>
      </c>
    </row>
    <row r="1142" spans="1:6" ht="15" hidden="1" customHeight="1" x14ac:dyDescent="0.3">
      <c r="A1142" t="s">
        <v>122</v>
      </c>
      <c r="B1142" s="2">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9">
        <f t="shared" si="34"/>
        <v>0.96694642046246471</v>
      </c>
      <c r="F1142" t="str">
        <f t="shared" si="35"/>
        <v>Expected</v>
      </c>
    </row>
    <row r="1143" spans="1:6" ht="15" hidden="1" customHeight="1" x14ac:dyDescent="0.3">
      <c r="A1143" t="s">
        <v>122</v>
      </c>
      <c r="B1143" s="2">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9">
        <f t="shared" si="34"/>
        <v>1.0933524893577644</v>
      </c>
      <c r="F1143" t="str">
        <f t="shared" si="35"/>
        <v>Expected</v>
      </c>
    </row>
    <row r="1144" spans="1:6" ht="15" hidden="1" customHeight="1" x14ac:dyDescent="0.3">
      <c r="A1144" t="s">
        <v>122</v>
      </c>
      <c r="B1144" s="2">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9">
        <f t="shared" si="34"/>
        <v>0.93711366538952745</v>
      </c>
      <c r="F1144" t="str">
        <f t="shared" si="35"/>
        <v>Expected</v>
      </c>
    </row>
    <row r="1145" spans="1:6" ht="15" hidden="1" customHeight="1" x14ac:dyDescent="0.3">
      <c r="A1145" t="s">
        <v>122</v>
      </c>
      <c r="B1145" s="2">
        <v>46113</v>
      </c>
      <c r="C1145" s="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9">
        <f t="shared" si="34"/>
        <v>0.93464219904637069</v>
      </c>
      <c r="F1145" t="str">
        <f t="shared" si="35"/>
        <v>Expected</v>
      </c>
    </row>
    <row r="1146" spans="1:6" ht="15" hidden="1" customHeight="1" x14ac:dyDescent="0.3">
      <c r="A1146" t="s">
        <v>122</v>
      </c>
      <c r="B1146" s="2">
        <v>46143</v>
      </c>
      <c r="C1146" s="5"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9">
        <f t="shared" si="34"/>
        <v>1.0581828974216285</v>
      </c>
      <c r="F1146" t="str">
        <f t="shared" si="35"/>
        <v>Expected</v>
      </c>
    </row>
    <row r="1147" spans="1:6" ht="15" hidden="1" customHeight="1" x14ac:dyDescent="0.3">
      <c r="A1147" t="s">
        <v>122</v>
      </c>
      <c r="B1147" s="2">
        <v>46174</v>
      </c>
      <c r="C1147" cm="1">
        <f t="array" ref="C1147">IFERROR(IF(SUMPRODUCT((measured[Site Name]=A1147)*(measured[Date]=B1147)*ISNUMBER(measured[Measured Value (kWh)]))=0,"",SUMIFS(measured[Measured Value (kWh)],measured[Site Name],A1147,measured[Date],B1147)),"")</f>
        <v>12292.03</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9">
        <f t="shared" si="34"/>
        <v>1.0137923924518344</v>
      </c>
      <c r="F1147" t="str">
        <f t="shared" si="35"/>
        <v>Expected</v>
      </c>
    </row>
    <row r="1148" spans="1:6" ht="15" hidden="1" customHeight="1" x14ac:dyDescent="0.3">
      <c r="A1148" t="s">
        <v>122</v>
      </c>
      <c r="B1148" s="2">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9" t="str">
        <f t="shared" si="34"/>
        <v/>
      </c>
      <c r="F1148" t="str">
        <f t="shared" si="35"/>
        <v/>
      </c>
    </row>
    <row r="1149" spans="1:6" ht="15" hidden="1" customHeight="1" x14ac:dyDescent="0.3">
      <c r="A1149" t="s">
        <v>122</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9" t="str">
        <f t="shared" si="34"/>
        <v/>
      </c>
      <c r="F1149" t="str">
        <f t="shared" si="35"/>
        <v/>
      </c>
    </row>
    <row r="1150" spans="1:6" ht="15" hidden="1" customHeight="1" x14ac:dyDescent="0.3">
      <c r="A1150" t="s">
        <v>122</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9" t="str">
        <f t="shared" si="34"/>
        <v/>
      </c>
      <c r="F1150" t="str">
        <f t="shared" si="35"/>
        <v/>
      </c>
    </row>
    <row r="1151" spans="1:6" ht="15" hidden="1" customHeight="1" x14ac:dyDescent="0.3">
      <c r="A1151" t="s">
        <v>122</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9" t="str">
        <f t="shared" si="34"/>
        <v/>
      </c>
      <c r="F1151" t="str">
        <f t="shared" si="35"/>
        <v/>
      </c>
    </row>
    <row r="1152" spans="1:6" ht="15" hidden="1" customHeight="1" x14ac:dyDescent="0.3">
      <c r="A1152" t="s">
        <v>122</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9" t="str">
        <f t="shared" si="34"/>
        <v/>
      </c>
      <c r="F1152" t="str">
        <f t="shared" si="35"/>
        <v/>
      </c>
    </row>
    <row r="1153" spans="1:6" ht="15" hidden="1" customHeight="1" x14ac:dyDescent="0.3">
      <c r="A1153" t="s">
        <v>122</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9" t="str">
        <f t="shared" si="34"/>
        <v/>
      </c>
      <c r="F1153" t="str">
        <f t="shared" si="35"/>
        <v/>
      </c>
    </row>
    <row r="1154" spans="1:6" ht="15" hidden="1" customHeight="1" x14ac:dyDescent="0.3">
      <c r="A1154" t="s">
        <v>124</v>
      </c>
      <c r="B1154" s="2">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9">
        <f t="shared" ref="E1154:E1217" si="36">IF(OR(C1154="",D1154="",D1154=0),"",C1154/D1154)</f>
        <v>0.86097139040028325</v>
      </c>
      <c r="F1154" t="str">
        <f t="shared" ref="F1154:F1217" si="37">IF(E1154="","",IF(E1154&gt;=0.9,"Expected",IF(E1154&gt;=0.7,"Moderate","Poor")))</f>
        <v>Moderate</v>
      </c>
    </row>
    <row r="1155" spans="1:6" ht="15" hidden="1" customHeight="1" x14ac:dyDescent="0.3">
      <c r="A1155" t="s">
        <v>124</v>
      </c>
      <c r="B1155" s="2">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9">
        <f t="shared" si="36"/>
        <v>0.72655479130758294</v>
      </c>
      <c r="F1155" t="str">
        <f t="shared" si="37"/>
        <v>Moderate</v>
      </c>
    </row>
    <row r="1156" spans="1:6" ht="15" hidden="1" customHeight="1" x14ac:dyDescent="0.3">
      <c r="A1156" t="s">
        <v>124</v>
      </c>
      <c r="B1156" s="2">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9">
        <f t="shared" si="36"/>
        <v>0.91051350811038112</v>
      </c>
      <c r="F1156" t="str">
        <f t="shared" si="37"/>
        <v>Expected</v>
      </c>
    </row>
    <row r="1157" spans="1:6" ht="15" hidden="1" customHeight="1" x14ac:dyDescent="0.3">
      <c r="A1157" t="s">
        <v>124</v>
      </c>
      <c r="B1157" s="2">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9">
        <f t="shared" si="36"/>
        <v>0.94617785986303382</v>
      </c>
      <c r="F1157" t="str">
        <f t="shared" si="37"/>
        <v>Expected</v>
      </c>
    </row>
    <row r="1158" spans="1:6" ht="15" hidden="1" customHeight="1" x14ac:dyDescent="0.3">
      <c r="A1158" t="s">
        <v>124</v>
      </c>
      <c r="B1158" s="2">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9">
        <f t="shared" si="36"/>
        <v>1.0354430665417904</v>
      </c>
      <c r="F1158" t="str">
        <f t="shared" si="37"/>
        <v>Expected</v>
      </c>
    </row>
    <row r="1159" spans="1:6" ht="15" hidden="1" customHeight="1" x14ac:dyDescent="0.3">
      <c r="A1159" t="s">
        <v>124</v>
      </c>
      <c r="B1159" s="2">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9">
        <f t="shared" si="36"/>
        <v>0.88372712292758127</v>
      </c>
      <c r="F1159" t="str">
        <f t="shared" si="37"/>
        <v>Moderate</v>
      </c>
    </row>
    <row r="1160" spans="1:6" ht="15" hidden="1" customHeight="1" x14ac:dyDescent="0.3">
      <c r="A1160" t="s">
        <v>124</v>
      </c>
      <c r="B1160" s="2">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9">
        <f t="shared" si="36"/>
        <v>1.1244210081110027</v>
      </c>
      <c r="F1160" t="str">
        <f t="shared" si="37"/>
        <v>Expected</v>
      </c>
    </row>
    <row r="1161" spans="1:6" ht="15" hidden="1" customHeight="1" x14ac:dyDescent="0.3">
      <c r="A1161" t="s">
        <v>124</v>
      </c>
      <c r="B1161" s="2">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9">
        <f t="shared" si="36"/>
        <v>1.0288178836857027</v>
      </c>
      <c r="F1161" t="str">
        <f t="shared" si="37"/>
        <v>Expected</v>
      </c>
    </row>
    <row r="1162" spans="1:6" ht="15" hidden="1" customHeight="1" x14ac:dyDescent="0.3">
      <c r="A1162" t="s">
        <v>124</v>
      </c>
      <c r="B1162" s="2">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9">
        <f t="shared" si="36"/>
        <v>0.81816294315338145</v>
      </c>
      <c r="F1162" t="str">
        <f t="shared" si="37"/>
        <v>Moderate</v>
      </c>
    </row>
    <row r="1163" spans="1:6" ht="15" hidden="1" customHeight="1" x14ac:dyDescent="0.3">
      <c r="A1163" t="s">
        <v>124</v>
      </c>
      <c r="B1163" s="2">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9">
        <f t="shared" si="36"/>
        <v>0.70609600320113275</v>
      </c>
      <c r="F1163" t="str">
        <f t="shared" si="37"/>
        <v>Moderate</v>
      </c>
    </row>
    <row r="1164" spans="1:6" ht="15" hidden="1" customHeight="1" x14ac:dyDescent="0.3">
      <c r="A1164" t="s">
        <v>124</v>
      </c>
      <c r="B1164" s="2">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9">
        <f t="shared" si="36"/>
        <v>0.96140846339887931</v>
      </c>
      <c r="F1164" t="str">
        <f t="shared" si="37"/>
        <v>Expected</v>
      </c>
    </row>
    <row r="1165" spans="1:6" ht="15" hidden="1" customHeight="1" x14ac:dyDescent="0.3">
      <c r="A1165" t="s">
        <v>124</v>
      </c>
      <c r="B1165" s="2">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9">
        <f t="shared" si="36"/>
        <v>0.7876920356474485</v>
      </c>
      <c r="F1165" t="str">
        <f t="shared" si="37"/>
        <v>Moderate</v>
      </c>
    </row>
    <row r="1166" spans="1:6" ht="15" hidden="1" customHeight="1" x14ac:dyDescent="0.3">
      <c r="A1166" t="s">
        <v>124</v>
      </c>
      <c r="B1166" s="2">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9">
        <f t="shared" si="36"/>
        <v>0.82541023786006684</v>
      </c>
      <c r="F1166" t="str">
        <f t="shared" si="37"/>
        <v>Moderate</v>
      </c>
    </row>
    <row r="1167" spans="1:6" ht="15" hidden="1" customHeight="1" x14ac:dyDescent="0.3">
      <c r="A1167" t="s">
        <v>124</v>
      </c>
      <c r="B1167" s="2">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9">
        <f t="shared" si="36"/>
        <v>0.70903120635953365</v>
      </c>
      <c r="F1167" t="str">
        <f t="shared" si="37"/>
        <v>Moderate</v>
      </c>
    </row>
    <row r="1168" spans="1:6" ht="15" hidden="1" customHeight="1" x14ac:dyDescent="0.3">
      <c r="A1168" t="s">
        <v>124</v>
      </c>
      <c r="B1168" s="2">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9">
        <f t="shared" si="36"/>
        <v>0.87316715037122317</v>
      </c>
      <c r="F1168" t="str">
        <f t="shared" si="37"/>
        <v>Moderate</v>
      </c>
    </row>
    <row r="1169" spans="1:6" ht="15" hidden="1" customHeight="1" x14ac:dyDescent="0.3">
      <c r="A1169" t="s">
        <v>124</v>
      </c>
      <c r="B1169" s="2">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9">
        <f t="shared" si="36"/>
        <v>0.67667897945507738</v>
      </c>
      <c r="F1169" t="str">
        <f t="shared" si="37"/>
        <v>Poor</v>
      </c>
    </row>
    <row r="1170" spans="1:6" ht="15" hidden="1" customHeight="1" x14ac:dyDescent="0.3">
      <c r="A1170" t="s">
        <v>124</v>
      </c>
      <c r="B1170" s="2">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9">
        <f t="shared" si="36"/>
        <v>1.1092630414912943</v>
      </c>
      <c r="F1170" t="str">
        <f t="shared" si="37"/>
        <v>Expected</v>
      </c>
    </row>
    <row r="1171" spans="1:6" ht="15" hidden="1" customHeight="1" x14ac:dyDescent="0.3">
      <c r="A1171" t="s">
        <v>124</v>
      </c>
      <c r="B1171" s="2">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9">
        <f t="shared" si="36"/>
        <v>0.97718149826120215</v>
      </c>
      <c r="F1171" t="str">
        <f t="shared" si="37"/>
        <v>Expected</v>
      </c>
    </row>
    <row r="1172" spans="1:6" ht="15" hidden="1" customHeight="1" x14ac:dyDescent="0.3">
      <c r="A1172" t="s">
        <v>124</v>
      </c>
      <c r="B1172" s="2">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9">
        <f t="shared" si="36"/>
        <v>0.96072291841472757</v>
      </c>
      <c r="F1172" t="str">
        <f t="shared" si="37"/>
        <v>Expected</v>
      </c>
    </row>
    <row r="1173" spans="1:6" ht="15" hidden="1" customHeight="1" x14ac:dyDescent="0.3">
      <c r="A1173" t="s">
        <v>124</v>
      </c>
      <c r="B1173" s="2">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9">
        <f t="shared" si="36"/>
        <v>0.88287226570493937</v>
      </c>
      <c r="F1173" t="str">
        <f t="shared" si="37"/>
        <v>Moderate</v>
      </c>
    </row>
    <row r="1174" spans="1:6" ht="15" hidden="1" customHeight="1" x14ac:dyDescent="0.3">
      <c r="A1174" t="s">
        <v>124</v>
      </c>
      <c r="B1174" s="2">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9">
        <f t="shared" si="36"/>
        <v>0.80501598913593098</v>
      </c>
      <c r="F1174" t="str">
        <f t="shared" si="37"/>
        <v>Moderate</v>
      </c>
    </row>
    <row r="1175" spans="1:6" ht="15" hidden="1" customHeight="1" x14ac:dyDescent="0.3">
      <c r="A1175" t="s">
        <v>124</v>
      </c>
      <c r="B1175" s="2">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9">
        <f t="shared" si="36"/>
        <v>0.84713559277536221</v>
      </c>
      <c r="F1175" t="str">
        <f t="shared" si="37"/>
        <v>Moderate</v>
      </c>
    </row>
    <row r="1176" spans="1:6" ht="15" hidden="1" customHeight="1" x14ac:dyDescent="0.3">
      <c r="A1176" t="s">
        <v>124</v>
      </c>
      <c r="B1176" s="2">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9">
        <f t="shared" si="36"/>
        <v>0.94099620650134796</v>
      </c>
      <c r="F1176" t="str">
        <f t="shared" si="37"/>
        <v>Expected</v>
      </c>
    </row>
    <row r="1177" spans="1:6" ht="15" hidden="1" customHeight="1" x14ac:dyDescent="0.3">
      <c r="A1177" t="s">
        <v>124</v>
      </c>
      <c r="B1177" s="2">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9">
        <f t="shared" si="36"/>
        <v>0.79180167627493003</v>
      </c>
      <c r="F1177" t="str">
        <f t="shared" si="37"/>
        <v>Moderate</v>
      </c>
    </row>
    <row r="1178" spans="1:6" ht="15" hidden="1" customHeight="1" x14ac:dyDescent="0.3">
      <c r="A1178" t="s">
        <v>124</v>
      </c>
      <c r="B1178" s="2">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9">
        <f t="shared" si="36"/>
        <v>0.81043004297516352</v>
      </c>
      <c r="F1178" t="str">
        <f t="shared" si="37"/>
        <v>Moderate</v>
      </c>
    </row>
    <row r="1179" spans="1:6" ht="15" hidden="1" customHeight="1" x14ac:dyDescent="0.3">
      <c r="A1179" t="s">
        <v>124</v>
      </c>
      <c r="B1179" s="2">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9">
        <f t="shared" si="36"/>
        <v>1.0435220047700096</v>
      </c>
      <c r="F1179" t="str">
        <f t="shared" si="37"/>
        <v>Expected</v>
      </c>
    </row>
    <row r="1180" spans="1:6" ht="15" hidden="1" customHeight="1" x14ac:dyDescent="0.3">
      <c r="A1180" t="s">
        <v>124</v>
      </c>
      <c r="B1180" s="2">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9">
        <f t="shared" si="36"/>
        <v>0.87604524992934008</v>
      </c>
      <c r="F1180" t="str">
        <f t="shared" si="37"/>
        <v>Moderate</v>
      </c>
    </row>
    <row r="1181" spans="1:6" ht="15" hidden="1" customHeight="1" x14ac:dyDescent="0.3">
      <c r="A1181" t="s">
        <v>124</v>
      </c>
      <c r="B1181" s="2">
        <v>46113</v>
      </c>
      <c r="C1181" s="5"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9">
        <f t="shared" si="36"/>
        <v>0.84607284703267249</v>
      </c>
      <c r="F1181" t="str">
        <f t="shared" si="37"/>
        <v>Moderate</v>
      </c>
    </row>
    <row r="1182" spans="1:6" ht="15" hidden="1" customHeight="1" x14ac:dyDescent="0.3">
      <c r="A1182" t="s">
        <v>124</v>
      </c>
      <c r="B1182" s="2">
        <v>46143</v>
      </c>
      <c r="C1182" s="5"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9">
        <f t="shared" si="36"/>
        <v>1.0449205041694405</v>
      </c>
      <c r="F1182" t="str">
        <f t="shared" si="37"/>
        <v>Expected</v>
      </c>
    </row>
    <row r="1183" spans="1:6" ht="15" hidden="1" customHeight="1" x14ac:dyDescent="0.3">
      <c r="A1183" t="s">
        <v>124</v>
      </c>
      <c r="B1183" s="2">
        <v>46174</v>
      </c>
      <c r="C1183" cm="1">
        <f t="array" ref="C1183">IFERROR(IF(SUMPRODUCT((measured[Site Name]=A1183)*(measured[Date]=B1183)*ISNUMBER(measured[Measured Value (kWh)]))=0,"",SUMIFS(measured[Measured Value (kWh)],measured[Site Name],A1183,measured[Date],B1183)),"")</f>
        <v>37511.86</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9">
        <f t="shared" si="36"/>
        <v>0.91641090599497488</v>
      </c>
      <c r="F1183" t="str">
        <f t="shared" si="37"/>
        <v>Expected</v>
      </c>
    </row>
    <row r="1184" spans="1:6" ht="15" hidden="1" customHeight="1" x14ac:dyDescent="0.3">
      <c r="A1184" t="s">
        <v>124</v>
      </c>
      <c r="B1184" s="2">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9" t="str">
        <f t="shared" si="36"/>
        <v/>
      </c>
      <c r="F1184" t="str">
        <f t="shared" si="37"/>
        <v/>
      </c>
    </row>
    <row r="1185" spans="1:6" ht="15" hidden="1" customHeight="1" x14ac:dyDescent="0.3">
      <c r="A1185" t="s">
        <v>124</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9" t="str">
        <f t="shared" si="36"/>
        <v/>
      </c>
      <c r="F1185" t="str">
        <f t="shared" si="37"/>
        <v/>
      </c>
    </row>
    <row r="1186" spans="1:6" ht="15" hidden="1" customHeight="1" x14ac:dyDescent="0.3">
      <c r="A1186" t="s">
        <v>124</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9" t="str">
        <f t="shared" si="36"/>
        <v/>
      </c>
      <c r="F1186" t="str">
        <f t="shared" si="37"/>
        <v/>
      </c>
    </row>
    <row r="1187" spans="1:6" ht="15" hidden="1" customHeight="1" x14ac:dyDescent="0.3">
      <c r="A1187" t="s">
        <v>124</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9" t="str">
        <f t="shared" si="36"/>
        <v/>
      </c>
      <c r="F1187" t="str">
        <f t="shared" si="37"/>
        <v/>
      </c>
    </row>
    <row r="1188" spans="1:6" ht="15" hidden="1" customHeight="1" x14ac:dyDescent="0.3">
      <c r="A1188" t="s">
        <v>124</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9" t="str">
        <f t="shared" si="36"/>
        <v/>
      </c>
      <c r="F1188" t="str">
        <f t="shared" si="37"/>
        <v/>
      </c>
    </row>
    <row r="1189" spans="1:6" ht="15" hidden="1" customHeight="1" x14ac:dyDescent="0.3">
      <c r="A1189" t="s">
        <v>124</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9" t="str">
        <f t="shared" si="36"/>
        <v/>
      </c>
      <c r="F1189" t="str">
        <f t="shared" si="37"/>
        <v/>
      </c>
    </row>
    <row r="1190" spans="1:6" ht="15" hidden="1" customHeight="1" x14ac:dyDescent="0.3">
      <c r="A1190" t="s">
        <v>127</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9" t="str">
        <f t="shared" si="36"/>
        <v/>
      </c>
      <c r="F1190" t="str">
        <f t="shared" si="37"/>
        <v/>
      </c>
    </row>
    <row r="1191" spans="1:6" ht="15" hidden="1" customHeight="1" x14ac:dyDescent="0.3">
      <c r="A1191" t="s">
        <v>127</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9" t="str">
        <f t="shared" si="36"/>
        <v/>
      </c>
      <c r="F1191" t="str">
        <f t="shared" si="37"/>
        <v/>
      </c>
    </row>
    <row r="1192" spans="1:6" ht="15" hidden="1" customHeight="1" x14ac:dyDescent="0.3">
      <c r="A1192" t="s">
        <v>127</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9" t="str">
        <f t="shared" si="36"/>
        <v/>
      </c>
      <c r="F1192" t="str">
        <f t="shared" si="37"/>
        <v/>
      </c>
    </row>
    <row r="1193" spans="1:6" ht="15" hidden="1" customHeight="1" x14ac:dyDescent="0.3">
      <c r="A1193" t="s">
        <v>127</v>
      </c>
      <c r="B1193" s="2">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9">
        <f t="shared" si="36"/>
        <v>0.45030439170491909</v>
      </c>
      <c r="F1193" t="str">
        <f t="shared" si="37"/>
        <v>Poor</v>
      </c>
    </row>
    <row r="1194" spans="1:6" ht="15" hidden="1" customHeight="1" x14ac:dyDescent="0.3">
      <c r="A1194" t="s">
        <v>127</v>
      </c>
      <c r="B1194" s="2">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9">
        <f t="shared" si="36"/>
        <v>0.93970021187834762</v>
      </c>
      <c r="F1194" t="str">
        <f t="shared" si="37"/>
        <v>Expected</v>
      </c>
    </row>
    <row r="1195" spans="1:6" ht="15" hidden="1" customHeight="1" x14ac:dyDescent="0.3">
      <c r="A1195" t="s">
        <v>127</v>
      </c>
      <c r="B1195" s="2">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9">
        <f t="shared" si="36"/>
        <v>0.8384923839299887</v>
      </c>
      <c r="F1195" t="str">
        <f t="shared" si="37"/>
        <v>Moderate</v>
      </c>
    </row>
    <row r="1196" spans="1:6" ht="15" hidden="1" customHeight="1" x14ac:dyDescent="0.3">
      <c r="A1196" t="s">
        <v>127</v>
      </c>
      <c r="B1196" s="2">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9">
        <f t="shared" si="36"/>
        <v>1.0136509235977103</v>
      </c>
      <c r="F1196" t="str">
        <f t="shared" si="37"/>
        <v>Expected</v>
      </c>
    </row>
    <row r="1197" spans="1:6" ht="15" hidden="1" customHeight="1" x14ac:dyDescent="0.3">
      <c r="A1197" t="s">
        <v>127</v>
      </c>
      <c r="B1197" s="2">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9">
        <f t="shared" si="36"/>
        <v>0.49355673404555117</v>
      </c>
      <c r="F1197" t="str">
        <f t="shared" si="37"/>
        <v>Poor</v>
      </c>
    </row>
    <row r="1198" spans="1:6" ht="15" hidden="1" customHeight="1" x14ac:dyDescent="0.3">
      <c r="A1198" t="s">
        <v>127</v>
      </c>
      <c r="B1198" s="2">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9">
        <f t="shared" si="36"/>
        <v>6.5828017720902362E-5</v>
      </c>
      <c r="F1198" t="str">
        <f t="shared" si="37"/>
        <v>Poor</v>
      </c>
    </row>
    <row r="1199" spans="1:6" ht="15" hidden="1" customHeight="1" x14ac:dyDescent="0.3">
      <c r="A1199" t="s">
        <v>127</v>
      </c>
      <c r="B1199" s="2">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9">
        <f t="shared" si="36"/>
        <v>0.50942186541785139</v>
      </c>
      <c r="F1199" t="str">
        <f t="shared" si="37"/>
        <v>Poor</v>
      </c>
    </row>
    <row r="1200" spans="1:6" ht="15" hidden="1" customHeight="1" x14ac:dyDescent="0.3">
      <c r="A1200" t="s">
        <v>127</v>
      </c>
      <c r="B1200" s="2">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9">
        <f t="shared" si="36"/>
        <v>1.0386260267463172</v>
      </c>
      <c r="F1200" t="str">
        <f t="shared" si="37"/>
        <v>Expected</v>
      </c>
    </row>
    <row r="1201" spans="1:6" ht="15" hidden="1" customHeight="1" x14ac:dyDescent="0.3">
      <c r="A1201" t="s">
        <v>127</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9" t="str">
        <f t="shared" si="36"/>
        <v/>
      </c>
      <c r="F1201" t="str">
        <f t="shared" si="37"/>
        <v/>
      </c>
    </row>
    <row r="1202" spans="1:6" ht="15" hidden="1" customHeight="1" x14ac:dyDescent="0.3">
      <c r="A1202" t="s">
        <v>127</v>
      </c>
      <c r="B1202" s="2">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9">
        <f t="shared" si="36"/>
        <v>0.29614507328015321</v>
      </c>
      <c r="F1202" t="str">
        <f t="shared" si="37"/>
        <v>Poor</v>
      </c>
    </row>
    <row r="1203" spans="1:6" ht="15" hidden="1" customHeight="1" x14ac:dyDescent="0.3">
      <c r="A1203" t="s">
        <v>127</v>
      </c>
      <c r="B1203" s="2">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9">
        <f t="shared" si="36"/>
        <v>0.82964042170015573</v>
      </c>
      <c r="F1203" t="str">
        <f t="shared" si="37"/>
        <v>Moderate</v>
      </c>
    </row>
    <row r="1204" spans="1:6" ht="15" hidden="1" customHeight="1" x14ac:dyDescent="0.3">
      <c r="A1204" t="s">
        <v>127</v>
      </c>
      <c r="B1204" s="2">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9">
        <f t="shared" si="36"/>
        <v>0.78282565755276012</v>
      </c>
      <c r="F1204" t="str">
        <f t="shared" si="37"/>
        <v>Moderate</v>
      </c>
    </row>
    <row r="1205" spans="1:6" ht="15" hidden="1" customHeight="1" x14ac:dyDescent="0.3">
      <c r="A1205" t="s">
        <v>127</v>
      </c>
      <c r="B1205" s="2">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9">
        <f t="shared" si="36"/>
        <v>0.64062245662011263</v>
      </c>
      <c r="F1205" t="str">
        <f t="shared" si="37"/>
        <v>Poor</v>
      </c>
    </row>
    <row r="1206" spans="1:6" ht="15" hidden="1" customHeight="1" x14ac:dyDescent="0.3">
      <c r="A1206" t="s">
        <v>127</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9" t="str">
        <f t="shared" si="36"/>
        <v/>
      </c>
      <c r="F1206" t="str">
        <f t="shared" si="37"/>
        <v/>
      </c>
    </row>
    <row r="1207" spans="1:6" ht="15" hidden="1" customHeight="1" x14ac:dyDescent="0.3">
      <c r="A1207" t="s">
        <v>127</v>
      </c>
      <c r="B1207" s="2">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9">
        <f t="shared" si="36"/>
        <v>0.87001953192399795</v>
      </c>
      <c r="F1207" t="str">
        <f t="shared" si="37"/>
        <v>Moderate</v>
      </c>
    </row>
    <row r="1208" spans="1:6" ht="15" hidden="1" customHeight="1" x14ac:dyDescent="0.3">
      <c r="A1208" t="s">
        <v>127</v>
      </c>
      <c r="B1208" s="2">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9">
        <f t="shared" si="36"/>
        <v>0.52394596807204263</v>
      </c>
      <c r="F1208" t="str">
        <f t="shared" si="37"/>
        <v>Poor</v>
      </c>
    </row>
    <row r="1209" spans="1:6" ht="15" hidden="1" customHeight="1" x14ac:dyDescent="0.3">
      <c r="A1209" t="s">
        <v>127</v>
      </c>
      <c r="B1209" s="2">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9">
        <f t="shared" si="36"/>
        <v>0.864268695719007</v>
      </c>
      <c r="F1209" t="str">
        <f t="shared" si="37"/>
        <v>Moderate</v>
      </c>
    </row>
    <row r="1210" spans="1:6" ht="15" hidden="1" customHeight="1" x14ac:dyDescent="0.3">
      <c r="A1210" t="s">
        <v>127</v>
      </c>
      <c r="B1210" s="2">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9">
        <f t="shared" si="36"/>
        <v>0.77313031972668211</v>
      </c>
      <c r="F1210" t="str">
        <f t="shared" si="37"/>
        <v>Moderate</v>
      </c>
    </row>
    <row r="1211" spans="1:6" ht="15" hidden="1" customHeight="1" x14ac:dyDescent="0.3">
      <c r="A1211" t="s">
        <v>127</v>
      </c>
      <c r="B1211" s="2">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9">
        <f t="shared" si="36"/>
        <v>0.92002564531415509</v>
      </c>
      <c r="F1211" t="str">
        <f t="shared" si="37"/>
        <v>Expected</v>
      </c>
    </row>
    <row r="1212" spans="1:6" ht="15" hidden="1" customHeight="1" x14ac:dyDescent="0.3">
      <c r="A1212" t="s">
        <v>127</v>
      </c>
      <c r="B1212" s="2">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9">
        <f t="shared" si="36"/>
        <v>0.81196871299376228</v>
      </c>
      <c r="F1212" t="str">
        <f t="shared" si="37"/>
        <v>Moderate</v>
      </c>
    </row>
    <row r="1213" spans="1:6" ht="15" hidden="1" customHeight="1" x14ac:dyDescent="0.3">
      <c r="A1213" t="s">
        <v>127</v>
      </c>
      <c r="B1213" s="2">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9">
        <f t="shared" si="36"/>
        <v>0.95604546472726226</v>
      </c>
      <c r="F1213" t="str">
        <f t="shared" si="37"/>
        <v>Expected</v>
      </c>
    </row>
    <row r="1214" spans="1:6" ht="15" hidden="1" customHeight="1" x14ac:dyDescent="0.3">
      <c r="A1214" t="s">
        <v>127</v>
      </c>
      <c r="B1214" s="2">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9">
        <f t="shared" si="36"/>
        <v>0.73847302559449546</v>
      </c>
      <c r="F1214" t="str">
        <f t="shared" si="37"/>
        <v>Moderate</v>
      </c>
    </row>
    <row r="1215" spans="1:6" ht="15" hidden="1" customHeight="1" x14ac:dyDescent="0.3">
      <c r="A1215" t="s">
        <v>127</v>
      </c>
      <c r="B1215" s="2">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9">
        <f t="shared" si="36"/>
        <v>1.0477076967697982</v>
      </c>
      <c r="F1215" t="str">
        <f t="shared" si="37"/>
        <v>Expected</v>
      </c>
    </row>
    <row r="1216" spans="1:6" ht="15" hidden="1" customHeight="1" x14ac:dyDescent="0.3">
      <c r="A1216" t="s">
        <v>127</v>
      </c>
      <c r="B1216" s="2">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9">
        <f t="shared" si="36"/>
        <v>0.72535837636159917</v>
      </c>
      <c r="F1216" t="str">
        <f t="shared" si="37"/>
        <v>Moderate</v>
      </c>
    </row>
    <row r="1217" spans="1:6" ht="15" hidden="1" customHeight="1" x14ac:dyDescent="0.3">
      <c r="A1217" t="s">
        <v>127</v>
      </c>
      <c r="B1217" s="2">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9">
        <f t="shared" si="36"/>
        <v>0.75378520037764107</v>
      </c>
      <c r="F1217" t="str">
        <f t="shared" si="37"/>
        <v>Moderate</v>
      </c>
    </row>
    <row r="1218" spans="1:6" ht="15" hidden="1" customHeight="1" x14ac:dyDescent="0.3">
      <c r="A1218" t="s">
        <v>127</v>
      </c>
      <c r="B1218" s="2">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9">
        <f t="shared" ref="E1218:E1281" si="38">IF(OR(C1218="",D1218="",D1218=0),"",C1218/D1218)</f>
        <v>0.9190315448695171</v>
      </c>
      <c r="F1218" t="str">
        <f t="shared" ref="F1218:F1281" si="39">IF(E1218="","",IF(E1218&gt;=0.9,"Expected",IF(E1218&gt;=0.7,"Moderate","Poor")))</f>
        <v>Expected</v>
      </c>
    </row>
    <row r="1219" spans="1:6" ht="15" hidden="1" customHeight="1" x14ac:dyDescent="0.3">
      <c r="A1219" t="s">
        <v>127</v>
      </c>
      <c r="B1219" s="2">
        <v>46174</v>
      </c>
      <c r="C1219" cm="1">
        <f t="array" ref="C1219">IFERROR(IF(SUMPRODUCT((measured[Site Name]=A1219)*(measured[Date]=B1219)*ISNUMBER(measured[Measured Value (kWh)]))=0,"",SUMIFS(measured[Measured Value (kWh)],measured[Site Name],A1219,measured[Date],B1219)),"")</f>
        <v>11309.7</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9">
        <f t="shared" si="38"/>
        <v>0.78056608070894673</v>
      </c>
      <c r="F1219" t="str">
        <f t="shared" si="39"/>
        <v>Moderate</v>
      </c>
    </row>
    <row r="1220" spans="1:6" ht="15" hidden="1" customHeight="1" x14ac:dyDescent="0.3">
      <c r="A1220" t="s">
        <v>127</v>
      </c>
      <c r="B1220" s="2">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9" t="str">
        <f t="shared" si="38"/>
        <v/>
      </c>
      <c r="F1220" t="str">
        <f t="shared" si="39"/>
        <v/>
      </c>
    </row>
    <row r="1221" spans="1:6" ht="15" hidden="1" customHeight="1" x14ac:dyDescent="0.3">
      <c r="A1221" t="s">
        <v>127</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9" t="str">
        <f t="shared" si="38"/>
        <v/>
      </c>
      <c r="F1221" t="str">
        <f t="shared" si="39"/>
        <v/>
      </c>
    </row>
    <row r="1222" spans="1:6" ht="15" hidden="1" customHeight="1" x14ac:dyDescent="0.3">
      <c r="A1222" t="s">
        <v>127</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9" t="str">
        <f t="shared" si="38"/>
        <v/>
      </c>
      <c r="F1222" t="str">
        <f t="shared" si="39"/>
        <v/>
      </c>
    </row>
    <row r="1223" spans="1:6" ht="15" hidden="1" customHeight="1" x14ac:dyDescent="0.3">
      <c r="A1223" t="s">
        <v>127</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9" t="str">
        <f t="shared" si="38"/>
        <v/>
      </c>
      <c r="F1223" t="str">
        <f t="shared" si="39"/>
        <v/>
      </c>
    </row>
    <row r="1224" spans="1:6" ht="15" hidden="1" customHeight="1" x14ac:dyDescent="0.3">
      <c r="A1224" t="s">
        <v>127</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9" t="str">
        <f t="shared" si="38"/>
        <v/>
      </c>
      <c r="F1224" t="str">
        <f t="shared" si="39"/>
        <v/>
      </c>
    </row>
    <row r="1225" spans="1:6" ht="15" hidden="1" customHeight="1" x14ac:dyDescent="0.3">
      <c r="A1225" t="s">
        <v>127</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9" t="str">
        <f t="shared" si="38"/>
        <v/>
      </c>
      <c r="F1225" t="str">
        <f t="shared" si="39"/>
        <v/>
      </c>
    </row>
    <row r="1226" spans="1:6" ht="15" hidden="1" customHeight="1" x14ac:dyDescent="0.3">
      <c r="A1226" t="s">
        <v>234</v>
      </c>
      <c r="B1226" s="2">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9" t="str">
        <f t="shared" si="38"/>
        <v/>
      </c>
      <c r="F1226" t="str">
        <f t="shared" si="39"/>
        <v/>
      </c>
    </row>
    <row r="1227" spans="1:6" ht="15" hidden="1" customHeight="1" x14ac:dyDescent="0.3">
      <c r="A1227" t="s">
        <v>234</v>
      </c>
      <c r="B1227" s="2">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9" t="str">
        <f t="shared" si="38"/>
        <v/>
      </c>
      <c r="F1227" t="str">
        <f t="shared" si="39"/>
        <v/>
      </c>
    </row>
    <row r="1228" spans="1:6" ht="15" hidden="1" customHeight="1" x14ac:dyDescent="0.3">
      <c r="A1228" t="s">
        <v>234</v>
      </c>
      <c r="B1228" s="2">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9" t="str">
        <f t="shared" si="38"/>
        <v/>
      </c>
      <c r="F1228" t="str">
        <f t="shared" si="39"/>
        <v/>
      </c>
    </row>
    <row r="1229" spans="1:6" ht="15" hidden="1" customHeight="1" x14ac:dyDescent="0.3">
      <c r="A1229" t="s">
        <v>234</v>
      </c>
      <c r="B1229" s="2">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9" t="str">
        <f t="shared" si="38"/>
        <v/>
      </c>
      <c r="F1229" t="str">
        <f t="shared" si="39"/>
        <v/>
      </c>
    </row>
    <row r="1230" spans="1:6" ht="15" hidden="1" customHeight="1" x14ac:dyDescent="0.3">
      <c r="A1230" t="s">
        <v>234</v>
      </c>
      <c r="B1230" s="2">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9" t="str">
        <f t="shared" si="38"/>
        <v/>
      </c>
      <c r="F1230" t="str">
        <f t="shared" si="39"/>
        <v/>
      </c>
    </row>
    <row r="1231" spans="1:6" ht="15" hidden="1" customHeight="1" x14ac:dyDescent="0.3">
      <c r="A1231" t="s">
        <v>234</v>
      </c>
      <c r="B1231" s="2">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9" t="str">
        <f t="shared" si="38"/>
        <v/>
      </c>
      <c r="F1231" t="str">
        <f t="shared" si="39"/>
        <v/>
      </c>
    </row>
    <row r="1232" spans="1:6" ht="15" hidden="1" customHeight="1" x14ac:dyDescent="0.3">
      <c r="A1232" t="s">
        <v>234</v>
      </c>
      <c r="B1232" s="2">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9" t="str">
        <f t="shared" si="38"/>
        <v/>
      </c>
      <c r="F1232" t="str">
        <f t="shared" si="39"/>
        <v/>
      </c>
    </row>
    <row r="1233" spans="1:6" ht="15" hidden="1" customHeight="1" x14ac:dyDescent="0.3">
      <c r="A1233" t="s">
        <v>234</v>
      </c>
      <c r="B1233" s="2">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9" t="str">
        <f t="shared" si="38"/>
        <v/>
      </c>
      <c r="F1233" t="str">
        <f t="shared" si="39"/>
        <v/>
      </c>
    </row>
    <row r="1234" spans="1:6" ht="15" hidden="1" customHeight="1" x14ac:dyDescent="0.3">
      <c r="A1234" t="s">
        <v>234</v>
      </c>
      <c r="B1234" s="2">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9" t="str">
        <f t="shared" si="38"/>
        <v/>
      </c>
      <c r="F1234" t="str">
        <f t="shared" si="39"/>
        <v/>
      </c>
    </row>
    <row r="1235" spans="1:6" ht="15" hidden="1" customHeight="1" x14ac:dyDescent="0.3">
      <c r="A1235" t="s">
        <v>234</v>
      </c>
      <c r="B1235" s="2">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9" t="str">
        <f t="shared" si="38"/>
        <v/>
      </c>
      <c r="F1235" t="str">
        <f t="shared" si="39"/>
        <v/>
      </c>
    </row>
    <row r="1236" spans="1:6" ht="15" hidden="1" customHeight="1" x14ac:dyDescent="0.3">
      <c r="A1236" t="s">
        <v>234</v>
      </c>
      <c r="B1236" s="2">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9" t="str">
        <f t="shared" si="38"/>
        <v/>
      </c>
      <c r="F1236" t="str">
        <f t="shared" si="39"/>
        <v/>
      </c>
    </row>
    <row r="1237" spans="1:6" ht="15" hidden="1" customHeight="1" x14ac:dyDescent="0.3">
      <c r="A1237" t="s">
        <v>234</v>
      </c>
      <c r="B1237" s="2">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9" t="str">
        <f t="shared" si="38"/>
        <v/>
      </c>
      <c r="F1237" t="str">
        <f t="shared" si="39"/>
        <v/>
      </c>
    </row>
    <row r="1238" spans="1:6" ht="15" hidden="1" customHeight="1" x14ac:dyDescent="0.3">
      <c r="A1238" t="s">
        <v>234</v>
      </c>
      <c r="B1238" s="2">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9" t="str">
        <f t="shared" si="38"/>
        <v/>
      </c>
      <c r="F1238" t="str">
        <f t="shared" si="39"/>
        <v/>
      </c>
    </row>
    <row r="1239" spans="1:6" ht="15" hidden="1" customHeight="1" x14ac:dyDescent="0.3">
      <c r="A1239" t="s">
        <v>234</v>
      </c>
      <c r="B1239" s="2">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9" t="str">
        <f t="shared" si="38"/>
        <v/>
      </c>
      <c r="F1239" t="str">
        <f t="shared" si="39"/>
        <v/>
      </c>
    </row>
    <row r="1240" spans="1:6" ht="15" hidden="1" customHeight="1" x14ac:dyDescent="0.3">
      <c r="A1240" t="s">
        <v>234</v>
      </c>
      <c r="B1240" s="2">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9" t="str">
        <f t="shared" si="38"/>
        <v/>
      </c>
      <c r="F1240" t="str">
        <f t="shared" si="39"/>
        <v/>
      </c>
    </row>
    <row r="1241" spans="1:6" ht="15" hidden="1" customHeight="1" x14ac:dyDescent="0.3">
      <c r="A1241" t="s">
        <v>234</v>
      </c>
      <c r="B1241" s="2">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9" t="str">
        <f t="shared" si="38"/>
        <v/>
      </c>
      <c r="F1241" t="str">
        <f t="shared" si="39"/>
        <v/>
      </c>
    </row>
    <row r="1242" spans="1:6" ht="15" hidden="1" customHeight="1" x14ac:dyDescent="0.3">
      <c r="A1242" t="s">
        <v>234</v>
      </c>
      <c r="B1242" s="2">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9" t="str">
        <f t="shared" si="38"/>
        <v/>
      </c>
      <c r="F1242" t="str">
        <f t="shared" si="39"/>
        <v/>
      </c>
    </row>
    <row r="1243" spans="1:6" ht="15" hidden="1" customHeight="1" x14ac:dyDescent="0.3">
      <c r="A1243" t="s">
        <v>234</v>
      </c>
      <c r="B1243" s="2">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9" t="str">
        <f t="shared" si="38"/>
        <v/>
      </c>
      <c r="F1243" t="str">
        <f t="shared" si="39"/>
        <v/>
      </c>
    </row>
    <row r="1244" spans="1:6" ht="15" hidden="1" customHeight="1" x14ac:dyDescent="0.3">
      <c r="A1244" t="s">
        <v>234</v>
      </c>
      <c r="B1244" s="2">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9" t="str">
        <f t="shared" si="38"/>
        <v/>
      </c>
      <c r="F1244" t="str">
        <f t="shared" si="39"/>
        <v/>
      </c>
    </row>
    <row r="1245" spans="1:6" ht="15" hidden="1" customHeight="1" x14ac:dyDescent="0.3">
      <c r="A1245" t="s">
        <v>234</v>
      </c>
      <c r="B1245" s="2">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9" t="str">
        <f t="shared" si="38"/>
        <v/>
      </c>
      <c r="F1245" t="str">
        <f t="shared" si="39"/>
        <v/>
      </c>
    </row>
    <row r="1246" spans="1:6" ht="15" hidden="1" customHeight="1" x14ac:dyDescent="0.3">
      <c r="A1246" t="s">
        <v>234</v>
      </c>
      <c r="B1246" s="2">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9" t="str">
        <f t="shared" si="38"/>
        <v/>
      </c>
      <c r="F1246" t="str">
        <f t="shared" si="39"/>
        <v/>
      </c>
    </row>
    <row r="1247" spans="1:6" ht="15" hidden="1" customHeight="1" x14ac:dyDescent="0.3">
      <c r="A1247" t="s">
        <v>234</v>
      </c>
      <c r="B1247" s="2">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9" t="str">
        <f t="shared" si="38"/>
        <v/>
      </c>
      <c r="F1247" t="str">
        <f t="shared" si="39"/>
        <v/>
      </c>
    </row>
    <row r="1248" spans="1:6" ht="15" hidden="1" customHeight="1" x14ac:dyDescent="0.3">
      <c r="A1248" t="s">
        <v>234</v>
      </c>
      <c r="B1248" s="2">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9" t="str">
        <f t="shared" si="38"/>
        <v/>
      </c>
      <c r="F1248" t="str">
        <f t="shared" si="39"/>
        <v/>
      </c>
    </row>
    <row r="1249" spans="1:6" ht="15" hidden="1" customHeight="1" x14ac:dyDescent="0.3">
      <c r="A1249" t="s">
        <v>234</v>
      </c>
      <c r="B1249" s="2">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9">
        <f t="shared" si="38"/>
        <v>0.82015815752578236</v>
      </c>
      <c r="F1249" t="str">
        <f t="shared" si="39"/>
        <v>Moderate</v>
      </c>
    </row>
    <row r="1250" spans="1:6" ht="15" hidden="1" customHeight="1" x14ac:dyDescent="0.3">
      <c r="A1250" t="s">
        <v>234</v>
      </c>
      <c r="B1250" s="2">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9">
        <f t="shared" si="38"/>
        <v>0.84277921138490197</v>
      </c>
      <c r="F1250" t="str">
        <f t="shared" si="39"/>
        <v>Moderate</v>
      </c>
    </row>
    <row r="1251" spans="1:6" ht="15" hidden="1" customHeight="1" x14ac:dyDescent="0.3">
      <c r="A1251" t="s">
        <v>234</v>
      </c>
      <c r="B1251" s="2">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9">
        <f t="shared" si="38"/>
        <v>1.014472878210227</v>
      </c>
      <c r="F1251" t="str">
        <f t="shared" si="39"/>
        <v>Expected</v>
      </c>
    </row>
    <row r="1252" spans="1:6" ht="15" hidden="1" customHeight="1" x14ac:dyDescent="0.3">
      <c r="A1252" t="s">
        <v>234</v>
      </c>
      <c r="B1252" s="2">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9">
        <f t="shared" si="38"/>
        <v>1.0305366823759929</v>
      </c>
      <c r="F1252" t="str">
        <f t="shared" si="39"/>
        <v>Expected</v>
      </c>
    </row>
    <row r="1253" spans="1:6" ht="15" hidden="1" customHeight="1" x14ac:dyDescent="0.3">
      <c r="A1253" t="s">
        <v>234</v>
      </c>
      <c r="B1253" s="2">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9">
        <f t="shared" si="38"/>
        <v>1.0123119033864267</v>
      </c>
      <c r="F1253" t="str">
        <f t="shared" si="39"/>
        <v>Expected</v>
      </c>
    </row>
    <row r="1254" spans="1:6" ht="15" hidden="1" customHeight="1" x14ac:dyDescent="0.3">
      <c r="A1254" t="s">
        <v>234</v>
      </c>
      <c r="B1254" s="2">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9">
        <f t="shared" si="38"/>
        <v>0.95540812898891492</v>
      </c>
      <c r="F1254" t="str">
        <f t="shared" si="39"/>
        <v>Expected</v>
      </c>
    </row>
    <row r="1255" spans="1:6" ht="15" hidden="1" customHeight="1" x14ac:dyDescent="0.3">
      <c r="A1255" t="s">
        <v>234</v>
      </c>
      <c r="B1255" s="2">
        <v>46174</v>
      </c>
      <c r="C1255" cm="1">
        <f t="array" ref="C1255">IFERROR(IF(SUMPRODUCT((measured[Site Name]=A1255)*(measured[Date]=B1255)*ISNUMBER(measured[Measured Value (kWh)]))=0,"",SUMIFS(measured[Measured Value (kWh)],measured[Site Name],A1255,measured[Date],B1255)),"")</f>
        <v>18349.150000000001</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9">
        <f t="shared" si="38"/>
        <v>1.0495184003111524</v>
      </c>
      <c r="F1255" t="str">
        <f t="shared" si="39"/>
        <v>Expected</v>
      </c>
    </row>
    <row r="1256" spans="1:6" ht="15" hidden="1" customHeight="1" x14ac:dyDescent="0.3">
      <c r="A1256" t="s">
        <v>234</v>
      </c>
      <c r="B1256" s="2">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9" t="str">
        <f t="shared" si="38"/>
        <v/>
      </c>
      <c r="F1256" t="str">
        <f t="shared" si="39"/>
        <v/>
      </c>
    </row>
    <row r="1257" spans="1:6" ht="15" hidden="1" customHeight="1" x14ac:dyDescent="0.3">
      <c r="A1257" t="s">
        <v>234</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9" t="str">
        <f t="shared" si="38"/>
        <v/>
      </c>
      <c r="F1257" t="str">
        <f t="shared" si="39"/>
        <v/>
      </c>
    </row>
    <row r="1258" spans="1:6" ht="15" hidden="1" customHeight="1" x14ac:dyDescent="0.3">
      <c r="A1258" t="s">
        <v>234</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9" t="str">
        <f t="shared" si="38"/>
        <v/>
      </c>
      <c r="F1258" t="str">
        <f t="shared" si="39"/>
        <v/>
      </c>
    </row>
    <row r="1259" spans="1:6" ht="15" hidden="1" customHeight="1" x14ac:dyDescent="0.3">
      <c r="A1259" t="s">
        <v>234</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9" t="str">
        <f t="shared" si="38"/>
        <v/>
      </c>
      <c r="F1259" t="str">
        <f t="shared" si="39"/>
        <v/>
      </c>
    </row>
    <row r="1260" spans="1:6" ht="15" hidden="1" customHeight="1" x14ac:dyDescent="0.3">
      <c r="A1260" t="s">
        <v>234</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9" t="str">
        <f t="shared" si="38"/>
        <v/>
      </c>
      <c r="F1260" t="str">
        <f t="shared" si="39"/>
        <v/>
      </c>
    </row>
    <row r="1261" spans="1:6" ht="15" hidden="1" customHeight="1" x14ac:dyDescent="0.3">
      <c r="A1261" t="s">
        <v>234</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9" t="str">
        <f t="shared" si="38"/>
        <v/>
      </c>
      <c r="F1261" t="str">
        <f t="shared" si="39"/>
        <v/>
      </c>
    </row>
    <row r="1262" spans="1:6" ht="15" hidden="1" customHeight="1" x14ac:dyDescent="0.3">
      <c r="A1262" t="s">
        <v>131</v>
      </c>
      <c r="B1262" s="2">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9">
        <f t="shared" si="38"/>
        <v>0.75521630508842785</v>
      </c>
      <c r="F1262" t="str">
        <f t="shared" si="39"/>
        <v>Moderate</v>
      </c>
    </row>
    <row r="1263" spans="1:6" ht="15" hidden="1" customHeight="1" x14ac:dyDescent="0.3">
      <c r="A1263" t="s">
        <v>131</v>
      </c>
      <c r="B1263" s="2">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9">
        <f t="shared" si="38"/>
        <v>0.81461346091116671</v>
      </c>
      <c r="F1263" t="str">
        <f t="shared" si="39"/>
        <v>Moderate</v>
      </c>
    </row>
    <row r="1264" spans="1:6" ht="15" hidden="1" customHeight="1" x14ac:dyDescent="0.3">
      <c r="A1264" t="s">
        <v>131</v>
      </c>
      <c r="B1264" s="2">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9">
        <f t="shared" si="38"/>
        <v>0.74902157947140646</v>
      </c>
      <c r="F1264" t="str">
        <f t="shared" si="39"/>
        <v>Moderate</v>
      </c>
    </row>
    <row r="1265" spans="1:6" ht="15" hidden="1" customHeight="1" x14ac:dyDescent="0.3">
      <c r="A1265" t="s">
        <v>131</v>
      </c>
      <c r="B1265" s="2">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9">
        <f t="shared" si="38"/>
        <v>0.79226238809345162</v>
      </c>
      <c r="F1265" t="str">
        <f t="shared" si="39"/>
        <v>Moderate</v>
      </c>
    </row>
    <row r="1266" spans="1:6" ht="15" hidden="1" customHeight="1" x14ac:dyDescent="0.3">
      <c r="A1266" t="s">
        <v>131</v>
      </c>
      <c r="B1266" s="2">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9">
        <f t="shared" si="38"/>
        <v>0.8488140573350601</v>
      </c>
      <c r="F1266" t="str">
        <f t="shared" si="39"/>
        <v>Moderate</v>
      </c>
    </row>
    <row r="1267" spans="1:6" ht="15" hidden="1" customHeight="1" x14ac:dyDescent="0.3">
      <c r="A1267" t="s">
        <v>131</v>
      </c>
      <c r="B1267" s="2">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9">
        <f t="shared" si="38"/>
        <v>0.83302513868759054</v>
      </c>
      <c r="F1267" t="str">
        <f t="shared" si="39"/>
        <v>Moderate</v>
      </c>
    </row>
    <row r="1268" spans="1:6" ht="15" hidden="1" customHeight="1" x14ac:dyDescent="0.3">
      <c r="A1268" t="s">
        <v>131</v>
      </c>
      <c r="B1268" s="2">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9">
        <f t="shared" si="38"/>
        <v>0.83861141551663299</v>
      </c>
      <c r="F1268" t="str">
        <f t="shared" si="39"/>
        <v>Moderate</v>
      </c>
    </row>
    <row r="1269" spans="1:6" ht="15" hidden="1" customHeight="1" x14ac:dyDescent="0.3">
      <c r="A1269" t="s">
        <v>131</v>
      </c>
      <c r="B1269" s="2">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9">
        <f t="shared" si="38"/>
        <v>0.72950754250139671</v>
      </c>
      <c r="F1269" t="str">
        <f t="shared" si="39"/>
        <v>Moderate</v>
      </c>
    </row>
    <row r="1270" spans="1:6" ht="15" hidden="1" customHeight="1" x14ac:dyDescent="0.3">
      <c r="A1270" t="s">
        <v>131</v>
      </c>
      <c r="B1270" s="2">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9">
        <f t="shared" si="38"/>
        <v>0.64792690239034911</v>
      </c>
      <c r="F1270" t="str">
        <f t="shared" si="39"/>
        <v>Poor</v>
      </c>
    </row>
    <row r="1271" spans="1:6" ht="15" hidden="1" customHeight="1" x14ac:dyDescent="0.3">
      <c r="A1271" t="s">
        <v>131</v>
      </c>
      <c r="B1271" s="2">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9">
        <f t="shared" si="38"/>
        <v>0.8667388949079089</v>
      </c>
      <c r="F1271" t="str">
        <f t="shared" si="39"/>
        <v>Moderate</v>
      </c>
    </row>
    <row r="1272" spans="1:6" ht="15" hidden="1" customHeight="1" x14ac:dyDescent="0.3">
      <c r="A1272" t="s">
        <v>131</v>
      </c>
      <c r="B1272" s="2">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9">
        <f t="shared" si="38"/>
        <v>0.76631051622245705</v>
      </c>
      <c r="F1272" t="str">
        <f t="shared" si="39"/>
        <v>Moderate</v>
      </c>
    </row>
    <row r="1273" spans="1:6" ht="15" hidden="1" customHeight="1" x14ac:dyDescent="0.3">
      <c r="A1273" t="s">
        <v>131</v>
      </c>
      <c r="B1273" s="2">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9">
        <f t="shared" si="38"/>
        <v>0.78954673814196141</v>
      </c>
      <c r="F1273" t="str">
        <f t="shared" si="39"/>
        <v>Moderate</v>
      </c>
    </row>
    <row r="1274" spans="1:6" ht="15" hidden="1" customHeight="1" x14ac:dyDescent="0.3">
      <c r="A1274" t="s">
        <v>131</v>
      </c>
      <c r="B1274" s="2">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9">
        <f t="shared" si="38"/>
        <v>0.60828091518628602</v>
      </c>
      <c r="F1274" t="str">
        <f t="shared" si="39"/>
        <v>Poor</v>
      </c>
    </row>
    <row r="1275" spans="1:6" ht="15" hidden="1" customHeight="1" x14ac:dyDescent="0.3">
      <c r="A1275" t="s">
        <v>131</v>
      </c>
      <c r="B1275" s="2">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9">
        <f t="shared" si="38"/>
        <v>0.52190931825595299</v>
      </c>
      <c r="F1275" t="str">
        <f t="shared" si="39"/>
        <v>Poor</v>
      </c>
    </row>
    <row r="1276" spans="1:6" ht="15" hidden="1" customHeight="1" x14ac:dyDescent="0.3">
      <c r="A1276" t="s">
        <v>131</v>
      </c>
      <c r="B1276" s="2">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9">
        <f t="shared" si="38"/>
        <v>0.5583651258391743</v>
      </c>
      <c r="F1276" t="str">
        <f t="shared" si="39"/>
        <v>Poor</v>
      </c>
    </row>
    <row r="1277" spans="1:6" ht="15" hidden="1" customHeight="1" x14ac:dyDescent="0.3">
      <c r="A1277" t="s">
        <v>131</v>
      </c>
      <c r="B1277" s="2">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9">
        <f t="shared" si="38"/>
        <v>0.55298023455406975</v>
      </c>
      <c r="F1277" t="str">
        <f t="shared" si="39"/>
        <v>Poor</v>
      </c>
    </row>
    <row r="1278" spans="1:6" ht="15" hidden="1" customHeight="1" x14ac:dyDescent="0.3">
      <c r="A1278" t="s">
        <v>131</v>
      </c>
      <c r="B1278" s="2">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9">
        <f t="shared" si="38"/>
        <v>0.69532775318474416</v>
      </c>
      <c r="F1278" t="str">
        <f t="shared" si="39"/>
        <v>Poor</v>
      </c>
    </row>
    <row r="1279" spans="1:6" ht="15" hidden="1" customHeight="1" x14ac:dyDescent="0.3">
      <c r="A1279" t="s">
        <v>131</v>
      </c>
      <c r="B1279" s="2">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9">
        <f t="shared" si="38"/>
        <v>0.96579939027437656</v>
      </c>
      <c r="F1279" t="str">
        <f t="shared" si="39"/>
        <v>Expected</v>
      </c>
    </row>
    <row r="1280" spans="1:6" ht="15" hidden="1" customHeight="1" x14ac:dyDescent="0.3">
      <c r="A1280" t="s">
        <v>131</v>
      </c>
      <c r="B1280" s="2">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9">
        <f t="shared" si="38"/>
        <v>0.95692713460502621</v>
      </c>
      <c r="F1280" t="str">
        <f t="shared" si="39"/>
        <v>Expected</v>
      </c>
    </row>
    <row r="1281" spans="1:6" ht="15" hidden="1" customHeight="1" x14ac:dyDescent="0.3">
      <c r="A1281" t="s">
        <v>131</v>
      </c>
      <c r="B1281" s="2">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9">
        <f t="shared" si="38"/>
        <v>1.0487668608827521</v>
      </c>
      <c r="F1281" t="str">
        <f t="shared" si="39"/>
        <v>Expected</v>
      </c>
    </row>
    <row r="1282" spans="1:6" ht="15" hidden="1" customHeight="1" x14ac:dyDescent="0.3">
      <c r="A1282" t="s">
        <v>131</v>
      </c>
      <c r="B1282" s="2">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9">
        <f t="shared" ref="E1282:E1345" si="40">IF(OR(C1282="",D1282="",D1282=0),"",C1282/D1282)</f>
        <v>0.92410126990093155</v>
      </c>
      <c r="F1282" t="str">
        <f t="shared" ref="F1282:F1345" si="41">IF(E1282="","",IF(E1282&gt;=0.9,"Expected",IF(E1282&gt;=0.7,"Moderate","Poor")))</f>
        <v>Expected</v>
      </c>
    </row>
    <row r="1283" spans="1:6" ht="15" hidden="1" customHeight="1" x14ac:dyDescent="0.3">
      <c r="A1283" t="s">
        <v>131</v>
      </c>
      <c r="B1283" s="2">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9">
        <f t="shared" si="40"/>
        <v>1.066853610349882</v>
      </c>
      <c r="F1283" t="str">
        <f t="shared" si="41"/>
        <v>Expected</v>
      </c>
    </row>
    <row r="1284" spans="1:6" ht="15" hidden="1" customHeight="1" x14ac:dyDescent="0.3">
      <c r="A1284" t="s">
        <v>131</v>
      </c>
      <c r="B1284" s="2">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9">
        <f t="shared" si="40"/>
        <v>0.91288012210872371</v>
      </c>
      <c r="F1284" t="str">
        <f t="shared" si="41"/>
        <v>Expected</v>
      </c>
    </row>
    <row r="1285" spans="1:6" ht="15" hidden="1" customHeight="1" x14ac:dyDescent="0.3">
      <c r="A1285" t="s">
        <v>131</v>
      </c>
      <c r="B1285" s="2">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9">
        <f t="shared" si="40"/>
        <v>1.0476236059924378</v>
      </c>
      <c r="F1285" t="str">
        <f t="shared" si="41"/>
        <v>Expected</v>
      </c>
    </row>
    <row r="1286" spans="1:6" ht="15" hidden="1" customHeight="1" x14ac:dyDescent="0.3">
      <c r="A1286" t="s">
        <v>131</v>
      </c>
      <c r="B1286" s="2">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9">
        <f t="shared" si="40"/>
        <v>1.1019502513108652</v>
      </c>
      <c r="F1286" t="str">
        <f t="shared" si="41"/>
        <v>Expected</v>
      </c>
    </row>
    <row r="1287" spans="1:6" ht="15" hidden="1" customHeight="1" x14ac:dyDescent="0.3">
      <c r="A1287" t="s">
        <v>131</v>
      </c>
      <c r="B1287" s="2">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9">
        <f t="shared" si="40"/>
        <v>1.0409916277046862</v>
      </c>
      <c r="F1287" t="str">
        <f t="shared" si="41"/>
        <v>Expected</v>
      </c>
    </row>
    <row r="1288" spans="1:6" ht="15" hidden="1" customHeight="1" x14ac:dyDescent="0.3">
      <c r="A1288" t="s">
        <v>131</v>
      </c>
      <c r="B1288" s="2">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9">
        <f t="shared" si="40"/>
        <v>0.86869941541221818</v>
      </c>
      <c r="F1288" t="str">
        <f t="shared" si="41"/>
        <v>Moderate</v>
      </c>
    </row>
    <row r="1289" spans="1:6" ht="15" hidden="1" customHeight="1" x14ac:dyDescent="0.3">
      <c r="A1289" t="s">
        <v>131</v>
      </c>
      <c r="B1289" s="2">
        <v>46113</v>
      </c>
      <c r="C1289" s="5"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9">
        <f t="shared" si="40"/>
        <v>0.92645774018151728</v>
      </c>
      <c r="F1289" t="str">
        <f t="shared" si="41"/>
        <v>Expected</v>
      </c>
    </row>
    <row r="1290" spans="1:6" ht="15" hidden="1" customHeight="1" x14ac:dyDescent="0.3">
      <c r="A1290" t="s">
        <v>131</v>
      </c>
      <c r="B1290" s="2">
        <v>46143</v>
      </c>
      <c r="C1290" s="5"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9">
        <f t="shared" si="40"/>
        <v>0.99426262782470853</v>
      </c>
      <c r="F1290" t="str">
        <f t="shared" si="41"/>
        <v>Expected</v>
      </c>
    </row>
    <row r="1291" spans="1:6" ht="15" hidden="1" customHeight="1" x14ac:dyDescent="0.3">
      <c r="A1291" t="s">
        <v>131</v>
      </c>
      <c r="B1291" s="2">
        <v>46174</v>
      </c>
      <c r="C1291" cm="1">
        <f t="array" ref="C1291">IFERROR(IF(SUMPRODUCT((measured[Site Name]=A1291)*(measured[Date]=B1291)*ISNUMBER(measured[Measured Value (kWh)]))=0,"",SUMIFS(measured[Measured Value (kWh)],measured[Site Name],A1291,measured[Date],B1291)),"")</f>
        <v>4820.5</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9">
        <f t="shared" si="40"/>
        <v>0.96366635014243596</v>
      </c>
      <c r="F1291" t="str">
        <f t="shared" si="41"/>
        <v>Expected</v>
      </c>
    </row>
    <row r="1292" spans="1:6" ht="15" hidden="1" customHeight="1" x14ac:dyDescent="0.3">
      <c r="A1292" t="s">
        <v>131</v>
      </c>
      <c r="B1292" s="2">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9" t="str">
        <f t="shared" si="40"/>
        <v/>
      </c>
      <c r="F1292" t="str">
        <f t="shared" si="41"/>
        <v/>
      </c>
    </row>
    <row r="1293" spans="1:6" ht="15" hidden="1" customHeight="1" x14ac:dyDescent="0.3">
      <c r="A1293" t="s">
        <v>131</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9" t="str">
        <f t="shared" si="40"/>
        <v/>
      </c>
      <c r="F1293" t="str">
        <f t="shared" si="41"/>
        <v/>
      </c>
    </row>
    <row r="1294" spans="1:6" ht="15" hidden="1" customHeight="1" x14ac:dyDescent="0.3">
      <c r="A1294" t="s">
        <v>131</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9" t="str">
        <f t="shared" si="40"/>
        <v/>
      </c>
      <c r="F1294" t="str">
        <f t="shared" si="41"/>
        <v/>
      </c>
    </row>
    <row r="1295" spans="1:6" ht="15" hidden="1" customHeight="1" x14ac:dyDescent="0.3">
      <c r="A1295" t="s">
        <v>131</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9" t="str">
        <f t="shared" si="40"/>
        <v/>
      </c>
      <c r="F1295" t="str">
        <f t="shared" si="41"/>
        <v/>
      </c>
    </row>
    <row r="1296" spans="1:6" ht="15" hidden="1" customHeight="1" x14ac:dyDescent="0.3">
      <c r="A1296" t="s">
        <v>131</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9" t="str">
        <f t="shared" si="40"/>
        <v/>
      </c>
      <c r="F1296" t="str">
        <f t="shared" si="41"/>
        <v/>
      </c>
    </row>
    <row r="1297" spans="1:6" ht="15" hidden="1" customHeight="1" x14ac:dyDescent="0.3">
      <c r="A1297" t="s">
        <v>131</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9" t="str">
        <f t="shared" si="40"/>
        <v/>
      </c>
      <c r="F1297" t="str">
        <f t="shared" si="41"/>
        <v/>
      </c>
    </row>
    <row r="1298" spans="1:6" ht="15" hidden="1" customHeight="1" x14ac:dyDescent="0.3">
      <c r="A1298" t="s">
        <v>134</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9" t="str">
        <f t="shared" si="40"/>
        <v/>
      </c>
      <c r="F1298" t="str">
        <f t="shared" si="41"/>
        <v/>
      </c>
    </row>
    <row r="1299" spans="1:6" ht="15" hidden="1" customHeight="1" x14ac:dyDescent="0.3">
      <c r="A1299" t="s">
        <v>134</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9" t="str">
        <f t="shared" si="40"/>
        <v/>
      </c>
      <c r="F1299" t="str">
        <f t="shared" si="41"/>
        <v/>
      </c>
    </row>
    <row r="1300" spans="1:6" ht="15" hidden="1" customHeight="1" x14ac:dyDescent="0.3">
      <c r="A1300" t="s">
        <v>134</v>
      </c>
      <c r="B1300" s="2">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9">
        <f t="shared" si="40"/>
        <v>1.1826917603124183</v>
      </c>
      <c r="F1300" t="str">
        <f t="shared" si="41"/>
        <v>Expected</v>
      </c>
    </row>
    <row r="1301" spans="1:6" ht="15" hidden="1" customHeight="1" x14ac:dyDescent="0.3">
      <c r="A1301" t="s">
        <v>134</v>
      </c>
      <c r="B1301" s="2">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9">
        <f t="shared" si="40"/>
        <v>0.85099353250800902</v>
      </c>
      <c r="F1301" t="str">
        <f t="shared" si="41"/>
        <v>Moderate</v>
      </c>
    </row>
    <row r="1302" spans="1:6" ht="15" hidden="1" customHeight="1" x14ac:dyDescent="0.3">
      <c r="A1302" t="s">
        <v>134</v>
      </c>
      <c r="B1302" s="2">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9">
        <f t="shared" si="40"/>
        <v>0.9884685713077761</v>
      </c>
      <c r="F1302" t="str">
        <f t="shared" si="41"/>
        <v>Expected</v>
      </c>
    </row>
    <row r="1303" spans="1:6" ht="15" hidden="1" customHeight="1" x14ac:dyDescent="0.3">
      <c r="A1303" t="s">
        <v>134</v>
      </c>
      <c r="B1303" s="2">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9">
        <f t="shared" si="40"/>
        <v>1.0623627734294261</v>
      </c>
      <c r="F1303" t="str">
        <f t="shared" si="41"/>
        <v>Expected</v>
      </c>
    </row>
    <row r="1304" spans="1:6" ht="15" hidden="1" customHeight="1" x14ac:dyDescent="0.3">
      <c r="A1304" t="s">
        <v>134</v>
      </c>
      <c r="B1304" s="2">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9">
        <f t="shared" si="40"/>
        <v>1.0957735255644054</v>
      </c>
      <c r="F1304" t="str">
        <f t="shared" si="41"/>
        <v>Expected</v>
      </c>
    </row>
    <row r="1305" spans="1:6" ht="15" hidden="1" customHeight="1" x14ac:dyDescent="0.3">
      <c r="A1305" t="s">
        <v>134</v>
      </c>
      <c r="B1305" s="2">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9">
        <f t="shared" si="40"/>
        <v>1.0154029800100586</v>
      </c>
      <c r="F1305" t="str">
        <f t="shared" si="41"/>
        <v>Expected</v>
      </c>
    </row>
    <row r="1306" spans="1:6" ht="15" hidden="1" customHeight="1" x14ac:dyDescent="0.3">
      <c r="A1306" t="s">
        <v>134</v>
      </c>
      <c r="B1306" s="2">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9">
        <f t="shared" si="40"/>
        <v>0.93767712363537792</v>
      </c>
      <c r="F1306" t="str">
        <f t="shared" si="41"/>
        <v>Expected</v>
      </c>
    </row>
    <row r="1307" spans="1:6" ht="15" hidden="1" customHeight="1" x14ac:dyDescent="0.3">
      <c r="A1307" t="s">
        <v>134</v>
      </c>
      <c r="B1307" s="2">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9">
        <f t="shared" si="40"/>
        <v>1.1619139778443053</v>
      </c>
      <c r="F1307" t="str">
        <f t="shared" si="41"/>
        <v>Expected</v>
      </c>
    </row>
    <row r="1308" spans="1:6" ht="15" hidden="1" customHeight="1" x14ac:dyDescent="0.3">
      <c r="A1308" t="s">
        <v>134</v>
      </c>
      <c r="B1308" s="2">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9">
        <f t="shared" si="40"/>
        <v>1.0798394907983948</v>
      </c>
      <c r="F1308" t="str">
        <f t="shared" si="41"/>
        <v>Expected</v>
      </c>
    </row>
    <row r="1309" spans="1:6" ht="15" hidden="1" customHeight="1" x14ac:dyDescent="0.3">
      <c r="A1309" t="s">
        <v>134</v>
      </c>
      <c r="B1309" s="2">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9">
        <f t="shared" si="40"/>
        <v>1.0380624464952635</v>
      </c>
      <c r="F1309" t="str">
        <f t="shared" si="41"/>
        <v>Expected</v>
      </c>
    </row>
    <row r="1310" spans="1:6" ht="15" hidden="1" customHeight="1" x14ac:dyDescent="0.3">
      <c r="A1310" t="s">
        <v>134</v>
      </c>
      <c r="B1310" s="2">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9">
        <f t="shared" si="40"/>
        <v>1.016916442128547</v>
      </c>
      <c r="F1310" t="str">
        <f t="shared" si="41"/>
        <v>Expected</v>
      </c>
    </row>
    <row r="1311" spans="1:6" ht="15" hidden="1" customHeight="1" x14ac:dyDescent="0.3">
      <c r="A1311" t="s">
        <v>134</v>
      </c>
      <c r="B1311" s="2">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9">
        <f t="shared" si="40"/>
        <v>0.90913102961295733</v>
      </c>
      <c r="F1311" t="str">
        <f t="shared" si="41"/>
        <v>Expected</v>
      </c>
    </row>
    <row r="1312" spans="1:6" ht="15" hidden="1" customHeight="1" x14ac:dyDescent="0.3">
      <c r="A1312" t="s">
        <v>134</v>
      </c>
      <c r="B1312" s="2">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9">
        <f t="shared" si="40"/>
        <v>0.89925538818868045</v>
      </c>
      <c r="F1312" t="str">
        <f t="shared" si="41"/>
        <v>Moderate</v>
      </c>
    </row>
    <row r="1313" spans="1:6" ht="15" hidden="1" customHeight="1" x14ac:dyDescent="0.3">
      <c r="A1313" t="s">
        <v>134</v>
      </c>
      <c r="B1313" s="2">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9">
        <f t="shared" si="40"/>
        <v>0.8576282295658687</v>
      </c>
      <c r="F1313" t="str">
        <f t="shared" si="41"/>
        <v>Moderate</v>
      </c>
    </row>
    <row r="1314" spans="1:6" ht="15" hidden="1" customHeight="1" x14ac:dyDescent="0.3">
      <c r="A1314" t="s">
        <v>134</v>
      </c>
      <c r="B1314" s="2">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9">
        <f t="shared" si="40"/>
        <v>1.1691381904147862</v>
      </c>
      <c r="F1314" t="str">
        <f t="shared" si="41"/>
        <v>Expected</v>
      </c>
    </row>
    <row r="1315" spans="1:6" ht="15" hidden="1" customHeight="1" x14ac:dyDescent="0.3">
      <c r="A1315" t="s">
        <v>134</v>
      </c>
      <c r="B1315" s="2">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9">
        <f t="shared" si="40"/>
        <v>1.1449814561323459</v>
      </c>
      <c r="F1315" t="str">
        <f t="shared" si="41"/>
        <v>Expected</v>
      </c>
    </row>
    <row r="1316" spans="1:6" ht="15" hidden="1" customHeight="1" x14ac:dyDescent="0.3">
      <c r="A1316" t="s">
        <v>134</v>
      </c>
      <c r="B1316" s="2">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9">
        <f t="shared" si="40"/>
        <v>0.82812384307005571</v>
      </c>
      <c r="F1316" t="str">
        <f t="shared" si="41"/>
        <v>Moderate</v>
      </c>
    </row>
    <row r="1317" spans="1:6" ht="15" hidden="1" customHeight="1" x14ac:dyDescent="0.3">
      <c r="A1317" t="s">
        <v>134</v>
      </c>
      <c r="B1317" s="2">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9">
        <f t="shared" si="40"/>
        <v>1.0396708537080463</v>
      </c>
      <c r="F1317" t="str">
        <f t="shared" si="41"/>
        <v>Expected</v>
      </c>
    </row>
    <row r="1318" spans="1:6" ht="15" hidden="1" customHeight="1" x14ac:dyDescent="0.3">
      <c r="A1318" t="s">
        <v>134</v>
      </c>
      <c r="B1318" s="2">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9">
        <f t="shared" si="40"/>
        <v>0.92091147309363619</v>
      </c>
      <c r="F1318" t="str">
        <f t="shared" si="41"/>
        <v>Expected</v>
      </c>
    </row>
    <row r="1319" spans="1:6" ht="15" hidden="1" customHeight="1" x14ac:dyDescent="0.3">
      <c r="A1319" t="s">
        <v>134</v>
      </c>
      <c r="B1319" s="2">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9">
        <f t="shared" si="40"/>
        <v>1.0420887638977088</v>
      </c>
      <c r="F1319" t="str">
        <f t="shared" si="41"/>
        <v>Expected</v>
      </c>
    </row>
    <row r="1320" spans="1:6" ht="15" hidden="1" customHeight="1" x14ac:dyDescent="0.3">
      <c r="A1320" t="s">
        <v>134</v>
      </c>
      <c r="B1320" s="2">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9">
        <f t="shared" si="40"/>
        <v>1.1178786620878776</v>
      </c>
      <c r="F1320" t="str">
        <f t="shared" si="41"/>
        <v>Expected</v>
      </c>
    </row>
    <row r="1321" spans="1:6" ht="15" hidden="1" customHeight="1" x14ac:dyDescent="0.3">
      <c r="A1321" t="s">
        <v>134</v>
      </c>
      <c r="B1321" s="2">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9">
        <f t="shared" si="40"/>
        <v>0.95370135184714822</v>
      </c>
      <c r="F1321" t="str">
        <f t="shared" si="41"/>
        <v>Expected</v>
      </c>
    </row>
    <row r="1322" spans="1:6" ht="15" hidden="1" customHeight="1" x14ac:dyDescent="0.3">
      <c r="A1322" t="s">
        <v>134</v>
      </c>
      <c r="B1322" s="2">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9">
        <f t="shared" si="40"/>
        <v>1.0594982717368981</v>
      </c>
      <c r="F1322" t="str">
        <f t="shared" si="41"/>
        <v>Expected</v>
      </c>
    </row>
    <row r="1323" spans="1:6" ht="15" hidden="1" customHeight="1" x14ac:dyDescent="0.3">
      <c r="A1323" t="s">
        <v>134</v>
      </c>
      <c r="B1323" s="2">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9">
        <f t="shared" si="40"/>
        <v>1.1512423319652236</v>
      </c>
      <c r="F1323" t="str">
        <f t="shared" si="41"/>
        <v>Expected</v>
      </c>
    </row>
    <row r="1324" spans="1:6" ht="15" hidden="1" customHeight="1" x14ac:dyDescent="0.3">
      <c r="A1324" t="s">
        <v>134</v>
      </c>
      <c r="B1324" s="2">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9">
        <f t="shared" si="40"/>
        <v>0.90898999214400378</v>
      </c>
      <c r="F1324" t="str">
        <f t="shared" si="41"/>
        <v>Expected</v>
      </c>
    </row>
    <row r="1325" spans="1:6" ht="15" hidden="1" customHeight="1" x14ac:dyDescent="0.3">
      <c r="A1325" t="s">
        <v>134</v>
      </c>
      <c r="B1325" s="2">
        <v>46113</v>
      </c>
      <c r="C1325" s="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9">
        <f t="shared" si="40"/>
        <v>0.88662225700087616</v>
      </c>
      <c r="F1325" t="str">
        <f t="shared" si="41"/>
        <v>Moderate</v>
      </c>
    </row>
    <row r="1326" spans="1:6" ht="15" hidden="1" customHeight="1" x14ac:dyDescent="0.3">
      <c r="A1326" t="s">
        <v>134</v>
      </c>
      <c r="B1326" s="2">
        <v>46143</v>
      </c>
      <c r="C1326" s="5"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9">
        <f t="shared" si="40"/>
        <v>1.0564085219125332</v>
      </c>
      <c r="F1326" t="str">
        <f t="shared" si="41"/>
        <v>Expected</v>
      </c>
    </row>
    <row r="1327" spans="1:6" ht="15" hidden="1" customHeight="1" x14ac:dyDescent="0.3">
      <c r="A1327" t="s">
        <v>134</v>
      </c>
      <c r="B1327" s="2">
        <v>46174</v>
      </c>
      <c r="C1327" cm="1">
        <f t="array" ref="C1327">IFERROR(IF(SUMPRODUCT((measured[Site Name]=A1327)*(measured[Date]=B1327)*ISNUMBER(measured[Measured Value (kWh)]))=0,"",SUMIFS(measured[Measured Value (kWh)],measured[Site Name],A1327,measured[Date],B1327)),"")</f>
        <v>23145.119999999999</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9">
        <f t="shared" si="40"/>
        <v>0.90262890035449783</v>
      </c>
      <c r="F1327" t="str">
        <f t="shared" si="41"/>
        <v>Expected</v>
      </c>
    </row>
    <row r="1328" spans="1:6" ht="15" hidden="1" customHeight="1" x14ac:dyDescent="0.3">
      <c r="A1328" t="s">
        <v>134</v>
      </c>
      <c r="B1328" s="2">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9" t="str">
        <f t="shared" si="40"/>
        <v/>
      </c>
      <c r="F1328" t="str">
        <f t="shared" si="41"/>
        <v/>
      </c>
    </row>
    <row r="1329" spans="1:6" ht="15" hidden="1" customHeight="1" x14ac:dyDescent="0.3">
      <c r="A1329" t="s">
        <v>134</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9" t="str">
        <f t="shared" si="40"/>
        <v/>
      </c>
      <c r="F1329" t="str">
        <f t="shared" si="41"/>
        <v/>
      </c>
    </row>
    <row r="1330" spans="1:6" ht="15" hidden="1" customHeight="1" x14ac:dyDescent="0.3">
      <c r="A1330" t="s">
        <v>134</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9" t="str">
        <f t="shared" si="40"/>
        <v/>
      </c>
      <c r="F1330" t="str">
        <f t="shared" si="41"/>
        <v/>
      </c>
    </row>
    <row r="1331" spans="1:6" ht="15" hidden="1" customHeight="1" x14ac:dyDescent="0.3">
      <c r="A1331" t="s">
        <v>134</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9" t="str">
        <f t="shared" si="40"/>
        <v/>
      </c>
      <c r="F1331" t="str">
        <f t="shared" si="41"/>
        <v/>
      </c>
    </row>
    <row r="1332" spans="1:6" ht="15" hidden="1" customHeight="1" x14ac:dyDescent="0.3">
      <c r="A1332" t="s">
        <v>134</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9" t="str">
        <f t="shared" si="40"/>
        <v/>
      </c>
      <c r="F1332" t="str">
        <f t="shared" si="41"/>
        <v/>
      </c>
    </row>
    <row r="1333" spans="1:6" ht="15" hidden="1" customHeight="1" x14ac:dyDescent="0.3">
      <c r="A1333" t="s">
        <v>134</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9" t="str">
        <f t="shared" si="40"/>
        <v/>
      </c>
      <c r="F1333" t="str">
        <f t="shared" si="41"/>
        <v/>
      </c>
    </row>
    <row r="1334" spans="1:6" ht="15" hidden="1" customHeight="1" x14ac:dyDescent="0.3">
      <c r="A1334" t="s">
        <v>138</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9" t="str">
        <f t="shared" si="40"/>
        <v/>
      </c>
      <c r="F1334" t="str">
        <f t="shared" si="41"/>
        <v/>
      </c>
    </row>
    <row r="1335" spans="1:6" ht="15" hidden="1" customHeight="1" x14ac:dyDescent="0.3">
      <c r="A1335" t="s">
        <v>138</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9" t="str">
        <f t="shared" si="40"/>
        <v/>
      </c>
      <c r="F1335" t="str">
        <f t="shared" si="41"/>
        <v/>
      </c>
    </row>
    <row r="1336" spans="1:6" ht="15" hidden="1" customHeight="1" x14ac:dyDescent="0.3">
      <c r="A1336" t="s">
        <v>138</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9" t="str">
        <f t="shared" si="40"/>
        <v/>
      </c>
      <c r="F1336" t="str">
        <f t="shared" si="41"/>
        <v/>
      </c>
    </row>
    <row r="1337" spans="1:6" ht="15" hidden="1" customHeight="1" x14ac:dyDescent="0.3">
      <c r="A1337" t="s">
        <v>138</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9" t="str">
        <f t="shared" si="40"/>
        <v/>
      </c>
      <c r="F1337" t="str">
        <f t="shared" si="41"/>
        <v/>
      </c>
    </row>
    <row r="1338" spans="1:6" ht="15" hidden="1" customHeight="1" x14ac:dyDescent="0.3">
      <c r="A1338" t="s">
        <v>138</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9" t="str">
        <f t="shared" si="40"/>
        <v/>
      </c>
      <c r="F1338" t="str">
        <f t="shared" si="41"/>
        <v/>
      </c>
    </row>
    <row r="1339" spans="1:6" ht="15" hidden="1" customHeight="1" x14ac:dyDescent="0.3">
      <c r="A1339" t="s">
        <v>138</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9" t="str">
        <f t="shared" si="40"/>
        <v/>
      </c>
      <c r="F1339" t="str">
        <f t="shared" si="41"/>
        <v/>
      </c>
    </row>
    <row r="1340" spans="1:6" ht="15" hidden="1" customHeight="1" x14ac:dyDescent="0.3">
      <c r="A1340" t="s">
        <v>138</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9" t="str">
        <f t="shared" si="40"/>
        <v/>
      </c>
      <c r="F1340" t="str">
        <f t="shared" si="41"/>
        <v/>
      </c>
    </row>
    <row r="1341" spans="1:6" ht="15" hidden="1" customHeight="1" x14ac:dyDescent="0.3">
      <c r="A1341" t="s">
        <v>138</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9" t="str">
        <f t="shared" si="40"/>
        <v/>
      </c>
      <c r="F1341" t="str">
        <f t="shared" si="41"/>
        <v/>
      </c>
    </row>
    <row r="1342" spans="1:6" ht="15" hidden="1" customHeight="1" x14ac:dyDescent="0.3">
      <c r="A1342" t="s">
        <v>138</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9" t="str">
        <f t="shared" si="40"/>
        <v/>
      </c>
      <c r="F1342" t="str">
        <f t="shared" si="41"/>
        <v/>
      </c>
    </row>
    <row r="1343" spans="1:6" ht="15" hidden="1" customHeight="1" x14ac:dyDescent="0.3">
      <c r="A1343" t="s">
        <v>138</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9" t="str">
        <f t="shared" si="40"/>
        <v/>
      </c>
      <c r="F1343" t="str">
        <f t="shared" si="41"/>
        <v/>
      </c>
    </row>
    <row r="1344" spans="1:6" ht="15" hidden="1" customHeight="1" x14ac:dyDescent="0.3">
      <c r="A1344" t="s">
        <v>138</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9" t="str">
        <f t="shared" si="40"/>
        <v/>
      </c>
      <c r="F1344" t="str">
        <f t="shared" si="41"/>
        <v/>
      </c>
    </row>
    <row r="1345" spans="1:6" ht="15" hidden="1" customHeight="1" x14ac:dyDescent="0.3">
      <c r="A1345" t="s">
        <v>138</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9" t="str">
        <f t="shared" si="40"/>
        <v/>
      </c>
      <c r="F1345" t="str">
        <f t="shared" si="41"/>
        <v/>
      </c>
    </row>
    <row r="1346" spans="1:6" ht="15" hidden="1" customHeight="1" x14ac:dyDescent="0.3">
      <c r="A1346" t="s">
        <v>138</v>
      </c>
      <c r="B1346" s="2">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9">
        <f t="shared" ref="E1346:E1409" si="42">IF(OR(C1346="",D1346="",D1346=0),"",C1346/D1346)</f>
        <v>0.89746856948691811</v>
      </c>
      <c r="F1346" t="str">
        <f t="shared" ref="F1346:F1409" si="43">IF(E1346="","",IF(E1346&gt;=0.9,"Expected",IF(E1346&gt;=0.7,"Moderate","Poor")))</f>
        <v>Moderate</v>
      </c>
    </row>
    <row r="1347" spans="1:6" ht="15" hidden="1" customHeight="1" x14ac:dyDescent="0.3">
      <c r="A1347" t="s">
        <v>138</v>
      </c>
      <c r="B1347" s="2">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9">
        <f t="shared" si="42"/>
        <v>0.79069982008580519</v>
      </c>
      <c r="F1347" t="str">
        <f t="shared" si="43"/>
        <v>Moderate</v>
      </c>
    </row>
    <row r="1348" spans="1:6" ht="15" hidden="1" customHeight="1" x14ac:dyDescent="0.3">
      <c r="A1348" t="s">
        <v>138</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9" t="str">
        <f t="shared" si="42"/>
        <v/>
      </c>
      <c r="F1348" t="str">
        <f t="shared" si="43"/>
        <v/>
      </c>
    </row>
    <row r="1349" spans="1:6" ht="15" hidden="1" customHeight="1" x14ac:dyDescent="0.3">
      <c r="A1349" t="s">
        <v>138</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9" t="str">
        <f t="shared" si="42"/>
        <v/>
      </c>
      <c r="F1349" t="str">
        <f t="shared" si="43"/>
        <v/>
      </c>
    </row>
    <row r="1350" spans="1:6" ht="15" hidden="1" customHeight="1" x14ac:dyDescent="0.3">
      <c r="A1350" t="s">
        <v>138</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9" t="str">
        <f t="shared" si="42"/>
        <v/>
      </c>
      <c r="F1350" t="str">
        <f t="shared" si="43"/>
        <v/>
      </c>
    </row>
    <row r="1351" spans="1:6" ht="15" hidden="1" customHeight="1" x14ac:dyDescent="0.3">
      <c r="A1351" t="s">
        <v>138</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9" t="str">
        <f t="shared" si="42"/>
        <v/>
      </c>
      <c r="F1351" t="str">
        <f t="shared" si="43"/>
        <v/>
      </c>
    </row>
    <row r="1352" spans="1:6" ht="15" hidden="1" customHeight="1" x14ac:dyDescent="0.3">
      <c r="A1352" t="s">
        <v>138</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9" t="str">
        <f t="shared" si="42"/>
        <v/>
      </c>
      <c r="F1352" t="str">
        <f t="shared" si="43"/>
        <v/>
      </c>
    </row>
    <row r="1353" spans="1:6" ht="15" hidden="1" customHeight="1" x14ac:dyDescent="0.3">
      <c r="A1353" t="s">
        <v>138</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9" t="str">
        <f t="shared" si="42"/>
        <v/>
      </c>
      <c r="F1353" t="str">
        <f t="shared" si="43"/>
        <v/>
      </c>
    </row>
    <row r="1354" spans="1:6" ht="15" hidden="1" customHeight="1" x14ac:dyDescent="0.3">
      <c r="A1354" t="s">
        <v>138</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9" t="str">
        <f t="shared" si="42"/>
        <v/>
      </c>
      <c r="F1354" t="str">
        <f t="shared" si="43"/>
        <v/>
      </c>
    </row>
    <row r="1355" spans="1:6" ht="15" hidden="1" customHeight="1" x14ac:dyDescent="0.3">
      <c r="A1355" t="s">
        <v>138</v>
      </c>
      <c r="B1355" s="2">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9" t="str">
        <f t="shared" si="42"/>
        <v/>
      </c>
      <c r="F1355" t="str">
        <f t="shared" si="43"/>
        <v/>
      </c>
    </row>
    <row r="1356" spans="1:6" ht="15" hidden="1" customHeight="1" x14ac:dyDescent="0.3">
      <c r="A1356" t="s">
        <v>138</v>
      </c>
      <c r="B1356" s="2">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9" t="str">
        <f t="shared" si="42"/>
        <v/>
      </c>
      <c r="F1356" t="str">
        <f t="shared" si="43"/>
        <v/>
      </c>
    </row>
    <row r="1357" spans="1:6" ht="15" hidden="1" customHeight="1" x14ac:dyDescent="0.3">
      <c r="A1357" t="s">
        <v>138</v>
      </c>
      <c r="B1357" s="2">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9" t="str">
        <f t="shared" si="42"/>
        <v/>
      </c>
      <c r="F1357" t="str">
        <f t="shared" si="43"/>
        <v/>
      </c>
    </row>
    <row r="1358" spans="1:6" ht="15" hidden="1" customHeight="1" x14ac:dyDescent="0.3">
      <c r="A1358" t="s">
        <v>138</v>
      </c>
      <c r="B1358" s="2">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9">
        <f t="shared" si="42"/>
        <v>0.41751613999320419</v>
      </c>
      <c r="F1358" t="str">
        <f t="shared" si="43"/>
        <v>Poor</v>
      </c>
    </row>
    <row r="1359" spans="1:6" ht="15" hidden="1" customHeight="1" x14ac:dyDescent="0.3">
      <c r="A1359" t="s">
        <v>138</v>
      </c>
      <c r="B1359" s="2">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9">
        <f t="shared" si="42"/>
        <v>0.93186326521197582</v>
      </c>
      <c r="F1359" t="str">
        <f t="shared" si="43"/>
        <v>Expected</v>
      </c>
    </row>
    <row r="1360" spans="1:6" ht="15" hidden="1" customHeight="1" x14ac:dyDescent="0.3">
      <c r="A1360" t="s">
        <v>138</v>
      </c>
      <c r="B1360" s="2">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9">
        <f t="shared" si="42"/>
        <v>0.66900710391541385</v>
      </c>
      <c r="F1360" t="str">
        <f t="shared" si="43"/>
        <v>Poor</v>
      </c>
    </row>
    <row r="1361" spans="1:6" ht="15" hidden="1" customHeight="1" x14ac:dyDescent="0.3">
      <c r="A1361" t="s">
        <v>138</v>
      </c>
      <c r="B1361" s="2">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9" t="str">
        <f t="shared" si="42"/>
        <v/>
      </c>
      <c r="F1361" t="str">
        <f t="shared" si="43"/>
        <v/>
      </c>
    </row>
    <row r="1362" spans="1:6" ht="15" hidden="1" customHeight="1" x14ac:dyDescent="0.3">
      <c r="A1362" t="s">
        <v>138</v>
      </c>
      <c r="B1362" s="2">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9" t="str">
        <f t="shared" si="42"/>
        <v/>
      </c>
      <c r="F1362" t="str">
        <f t="shared" si="43"/>
        <v/>
      </c>
    </row>
    <row r="1363" spans="1:6" ht="15" hidden="1" customHeight="1" x14ac:dyDescent="0.3">
      <c r="A1363" t="s">
        <v>138</v>
      </c>
      <c r="B1363" s="2">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9" t="str">
        <f t="shared" si="42"/>
        <v/>
      </c>
      <c r="F1363" t="str">
        <f t="shared" si="43"/>
        <v/>
      </c>
    </row>
    <row r="1364" spans="1:6" ht="15" hidden="1" customHeight="1" x14ac:dyDescent="0.3">
      <c r="A1364" t="s">
        <v>138</v>
      </c>
      <c r="B1364" s="2">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9" t="str">
        <f t="shared" si="42"/>
        <v/>
      </c>
      <c r="F1364" t="str">
        <f t="shared" si="43"/>
        <v/>
      </c>
    </row>
    <row r="1365" spans="1:6" ht="15" hidden="1" customHeight="1" x14ac:dyDescent="0.3">
      <c r="A1365" t="s">
        <v>138</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9" t="str">
        <f t="shared" si="42"/>
        <v/>
      </c>
      <c r="F1365" t="str">
        <f t="shared" si="43"/>
        <v/>
      </c>
    </row>
    <row r="1366" spans="1:6" ht="15" hidden="1" customHeight="1" x14ac:dyDescent="0.3">
      <c r="A1366" t="s">
        <v>138</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9" t="str">
        <f t="shared" si="42"/>
        <v/>
      </c>
      <c r="F1366" t="str">
        <f t="shared" si="43"/>
        <v/>
      </c>
    </row>
    <row r="1367" spans="1:6" ht="15" hidden="1" customHeight="1" x14ac:dyDescent="0.3">
      <c r="A1367" t="s">
        <v>138</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9" t="str">
        <f t="shared" si="42"/>
        <v/>
      </c>
      <c r="F1367" t="str">
        <f t="shared" si="43"/>
        <v/>
      </c>
    </row>
    <row r="1368" spans="1:6" ht="15" hidden="1" customHeight="1" x14ac:dyDescent="0.3">
      <c r="A1368" t="s">
        <v>138</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9" t="str">
        <f t="shared" si="42"/>
        <v/>
      </c>
      <c r="F1368" t="str">
        <f t="shared" si="43"/>
        <v/>
      </c>
    </row>
    <row r="1369" spans="1:6" ht="15" hidden="1" customHeight="1" x14ac:dyDescent="0.3">
      <c r="A1369" t="s">
        <v>138</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9" t="str">
        <f t="shared" si="42"/>
        <v/>
      </c>
      <c r="F1369" t="str">
        <f t="shared" si="43"/>
        <v/>
      </c>
    </row>
    <row r="1370" spans="1:6" ht="15" hidden="1" customHeight="1" x14ac:dyDescent="0.3">
      <c r="A1370" t="s">
        <v>220</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9" t="str">
        <f t="shared" si="42"/>
        <v/>
      </c>
      <c r="F1370" t="str">
        <f t="shared" si="43"/>
        <v/>
      </c>
    </row>
    <row r="1371" spans="1:6" ht="15" hidden="1" customHeight="1" x14ac:dyDescent="0.3">
      <c r="A1371" t="s">
        <v>220</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9" t="str">
        <f t="shared" si="42"/>
        <v/>
      </c>
      <c r="F1371" t="str">
        <f t="shared" si="43"/>
        <v/>
      </c>
    </row>
    <row r="1372" spans="1:6" ht="15" hidden="1" customHeight="1" x14ac:dyDescent="0.3">
      <c r="A1372" t="s">
        <v>220</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9" t="str">
        <f t="shared" si="42"/>
        <v/>
      </c>
      <c r="F1372" t="str">
        <f t="shared" si="43"/>
        <v/>
      </c>
    </row>
    <row r="1373" spans="1:6" ht="15" hidden="1" customHeight="1" x14ac:dyDescent="0.3">
      <c r="A1373" t="s">
        <v>220</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9" t="str">
        <f t="shared" si="42"/>
        <v/>
      </c>
      <c r="F1373" t="str">
        <f t="shared" si="43"/>
        <v/>
      </c>
    </row>
    <row r="1374" spans="1:6" ht="15" hidden="1" customHeight="1" x14ac:dyDescent="0.3">
      <c r="A1374" t="s">
        <v>220</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9" t="str">
        <f t="shared" si="42"/>
        <v/>
      </c>
      <c r="F1374" t="str">
        <f t="shared" si="43"/>
        <v/>
      </c>
    </row>
    <row r="1375" spans="1:6" ht="15" hidden="1" customHeight="1" x14ac:dyDescent="0.3">
      <c r="A1375" t="s">
        <v>220</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9" t="str">
        <f t="shared" si="42"/>
        <v/>
      </c>
      <c r="F1375" t="str">
        <f t="shared" si="43"/>
        <v/>
      </c>
    </row>
    <row r="1376" spans="1:6" ht="15" hidden="1" customHeight="1" x14ac:dyDescent="0.3">
      <c r="A1376" t="s">
        <v>220</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9" t="str">
        <f t="shared" si="42"/>
        <v/>
      </c>
      <c r="F1376" t="str">
        <f t="shared" si="43"/>
        <v/>
      </c>
    </row>
    <row r="1377" spans="1:6" ht="15" hidden="1" customHeight="1" x14ac:dyDescent="0.3">
      <c r="A1377" t="s">
        <v>220</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9" t="str">
        <f t="shared" si="42"/>
        <v/>
      </c>
      <c r="F1377" t="str">
        <f t="shared" si="43"/>
        <v/>
      </c>
    </row>
    <row r="1378" spans="1:6" ht="15" hidden="1" customHeight="1" x14ac:dyDescent="0.3">
      <c r="A1378" t="s">
        <v>220</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9" t="str">
        <f t="shared" si="42"/>
        <v/>
      </c>
      <c r="F1378" t="str">
        <f t="shared" si="43"/>
        <v/>
      </c>
    </row>
    <row r="1379" spans="1:6" ht="15" hidden="1" customHeight="1" x14ac:dyDescent="0.3">
      <c r="A1379" t="s">
        <v>220</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9" t="str">
        <f t="shared" si="42"/>
        <v/>
      </c>
      <c r="F1379" t="str">
        <f t="shared" si="43"/>
        <v/>
      </c>
    </row>
    <row r="1380" spans="1:6" ht="15" hidden="1" customHeight="1" x14ac:dyDescent="0.3">
      <c r="A1380" t="s">
        <v>220</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9" t="str">
        <f t="shared" si="42"/>
        <v/>
      </c>
      <c r="F1380" t="str">
        <f t="shared" si="43"/>
        <v/>
      </c>
    </row>
    <row r="1381" spans="1:6" ht="15" hidden="1" customHeight="1" x14ac:dyDescent="0.3">
      <c r="A1381" t="s">
        <v>220</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9" t="str">
        <f t="shared" si="42"/>
        <v/>
      </c>
      <c r="F1381" t="str">
        <f t="shared" si="43"/>
        <v/>
      </c>
    </row>
    <row r="1382" spans="1:6" ht="15" hidden="1" customHeight="1" x14ac:dyDescent="0.3">
      <c r="A1382" t="s">
        <v>220</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9" t="str">
        <f t="shared" si="42"/>
        <v/>
      </c>
      <c r="F1382" t="str">
        <f t="shared" si="43"/>
        <v/>
      </c>
    </row>
    <row r="1383" spans="1:6" ht="15" hidden="1" customHeight="1" x14ac:dyDescent="0.3">
      <c r="A1383" t="s">
        <v>220</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9" t="str">
        <f t="shared" si="42"/>
        <v/>
      </c>
      <c r="F1383" t="str">
        <f t="shared" si="43"/>
        <v/>
      </c>
    </row>
    <row r="1384" spans="1:6" ht="15" hidden="1" customHeight="1" x14ac:dyDescent="0.3">
      <c r="A1384" t="s">
        <v>220</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9" t="str">
        <f t="shared" si="42"/>
        <v/>
      </c>
      <c r="F1384" t="str">
        <f t="shared" si="43"/>
        <v/>
      </c>
    </row>
    <row r="1385" spans="1:6" ht="15" hidden="1" customHeight="1" x14ac:dyDescent="0.3">
      <c r="A1385" t="s">
        <v>220</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9" t="str">
        <f t="shared" si="42"/>
        <v/>
      </c>
      <c r="F1385" t="str">
        <f t="shared" si="43"/>
        <v/>
      </c>
    </row>
    <row r="1386" spans="1:6" ht="15" hidden="1" customHeight="1" x14ac:dyDescent="0.3">
      <c r="A1386" t="s">
        <v>220</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9" t="str">
        <f t="shared" si="42"/>
        <v/>
      </c>
      <c r="F1386" t="str">
        <f t="shared" si="43"/>
        <v/>
      </c>
    </row>
    <row r="1387" spans="1:6" ht="15" hidden="1" customHeight="1" x14ac:dyDescent="0.3">
      <c r="A1387" t="s">
        <v>220</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9" t="str">
        <f t="shared" si="42"/>
        <v/>
      </c>
      <c r="F1387" t="str">
        <f t="shared" si="43"/>
        <v/>
      </c>
    </row>
    <row r="1388" spans="1:6" ht="15" hidden="1" customHeight="1" x14ac:dyDescent="0.3">
      <c r="A1388" t="s">
        <v>220</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9" t="str">
        <f t="shared" si="42"/>
        <v/>
      </c>
      <c r="F1388" t="str">
        <f t="shared" si="43"/>
        <v/>
      </c>
    </row>
    <row r="1389" spans="1:6" ht="15" hidden="1" customHeight="1" x14ac:dyDescent="0.3">
      <c r="A1389" t="s">
        <v>220</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9" t="str">
        <f t="shared" si="42"/>
        <v/>
      </c>
      <c r="F1389" t="str">
        <f t="shared" si="43"/>
        <v/>
      </c>
    </row>
    <row r="1390" spans="1:6" ht="15" hidden="1" customHeight="1" x14ac:dyDescent="0.3">
      <c r="A1390" t="s">
        <v>220</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9" t="str">
        <f t="shared" si="42"/>
        <v/>
      </c>
      <c r="F1390" t="str">
        <f t="shared" si="43"/>
        <v/>
      </c>
    </row>
    <row r="1391" spans="1:6" ht="15" hidden="1" customHeight="1" x14ac:dyDescent="0.3">
      <c r="A1391" t="s">
        <v>220</v>
      </c>
      <c r="B1391" s="2">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9">
        <f t="shared" si="42"/>
        <v>0.91317679492256387</v>
      </c>
      <c r="F1391" t="str">
        <f t="shared" si="43"/>
        <v>Expected</v>
      </c>
    </row>
    <row r="1392" spans="1:6" ht="15" hidden="1" customHeight="1" x14ac:dyDescent="0.3">
      <c r="A1392" t="s">
        <v>220</v>
      </c>
      <c r="B1392" s="2">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9">
        <f t="shared" si="42"/>
        <v>0.80705973639592476</v>
      </c>
      <c r="F1392" t="str">
        <f t="shared" si="43"/>
        <v>Moderate</v>
      </c>
    </row>
    <row r="1393" spans="1:6" ht="15" hidden="1" customHeight="1" x14ac:dyDescent="0.3">
      <c r="A1393" t="s">
        <v>220</v>
      </c>
      <c r="B1393" s="2">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9">
        <f t="shared" si="42"/>
        <v>0.68340719477598155</v>
      </c>
      <c r="F1393" t="str">
        <f t="shared" si="43"/>
        <v>Poor</v>
      </c>
    </row>
    <row r="1394" spans="1:6" ht="15" hidden="1" customHeight="1" x14ac:dyDescent="0.3">
      <c r="A1394" t="s">
        <v>220</v>
      </c>
      <c r="B1394" s="2">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9">
        <f t="shared" si="42"/>
        <v>0.93830000213346987</v>
      </c>
      <c r="F1394" t="str">
        <f t="shared" si="43"/>
        <v>Expected</v>
      </c>
    </row>
    <row r="1395" spans="1:6" ht="15" hidden="1" customHeight="1" x14ac:dyDescent="0.3">
      <c r="A1395" t="s">
        <v>220</v>
      </c>
      <c r="B1395" s="2">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9">
        <f t="shared" si="42"/>
        <v>0.86701229824150516</v>
      </c>
      <c r="F1395" t="str">
        <f t="shared" si="43"/>
        <v>Moderate</v>
      </c>
    </row>
    <row r="1396" spans="1:6" ht="15" hidden="1" customHeight="1" x14ac:dyDescent="0.3">
      <c r="A1396" t="s">
        <v>220</v>
      </c>
      <c r="B1396" s="2">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9">
        <f t="shared" si="42"/>
        <v>0.85219444006831768</v>
      </c>
      <c r="F1396" t="str">
        <f t="shared" si="43"/>
        <v>Moderate</v>
      </c>
    </row>
    <row r="1397" spans="1:6" ht="15" hidden="1" customHeight="1" x14ac:dyDescent="0.3">
      <c r="A1397" t="s">
        <v>220</v>
      </c>
      <c r="B1397" s="2">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9">
        <f t="shared" si="42"/>
        <v>0.75856361691851248</v>
      </c>
      <c r="F1397" t="str">
        <f t="shared" si="43"/>
        <v>Moderate</v>
      </c>
    </row>
    <row r="1398" spans="1:6" ht="15" hidden="1" customHeight="1" x14ac:dyDescent="0.3">
      <c r="A1398" t="s">
        <v>220</v>
      </c>
      <c r="B1398" s="2">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9">
        <f t="shared" si="42"/>
        <v>0.91898316686891313</v>
      </c>
      <c r="F1398" t="str">
        <f t="shared" si="43"/>
        <v>Expected</v>
      </c>
    </row>
    <row r="1399" spans="1:6" ht="15" hidden="1" customHeight="1" x14ac:dyDescent="0.3">
      <c r="A1399" t="s">
        <v>220</v>
      </c>
      <c r="B1399" s="2">
        <v>46174</v>
      </c>
      <c r="C1399" cm="1">
        <f t="array" ref="C1399">IFERROR(IF(SUMPRODUCT((measured[Site Name]=A1399)*(measured[Date]=B1399)*ISNUMBER(measured[Measured Value (kWh)]))=0,"",SUMIFS(measured[Measured Value (kWh)],measured[Site Name],A1399,measured[Date],B1399)),"")</f>
        <v>18559</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9">
        <f t="shared" si="42"/>
        <v>0.65447223280154598</v>
      </c>
      <c r="F1399" t="str">
        <f t="shared" si="43"/>
        <v>Poor</v>
      </c>
    </row>
    <row r="1400" spans="1:6" ht="15" hidden="1" customHeight="1" x14ac:dyDescent="0.3">
      <c r="A1400" t="s">
        <v>220</v>
      </c>
      <c r="B1400" s="2">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9" t="str">
        <f t="shared" si="42"/>
        <v/>
      </c>
      <c r="F1400" t="str">
        <f t="shared" si="43"/>
        <v/>
      </c>
    </row>
    <row r="1401" spans="1:6" ht="15" hidden="1" customHeight="1" x14ac:dyDescent="0.3">
      <c r="A1401" t="s">
        <v>220</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9" t="str">
        <f t="shared" si="42"/>
        <v/>
      </c>
      <c r="F1401" t="str">
        <f t="shared" si="43"/>
        <v/>
      </c>
    </row>
    <row r="1402" spans="1:6" ht="15" hidden="1" customHeight="1" x14ac:dyDescent="0.3">
      <c r="A1402" t="s">
        <v>220</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9" t="str">
        <f t="shared" si="42"/>
        <v/>
      </c>
      <c r="F1402" t="str">
        <f t="shared" si="43"/>
        <v/>
      </c>
    </row>
    <row r="1403" spans="1:6" ht="15" hidden="1" customHeight="1" x14ac:dyDescent="0.3">
      <c r="A1403" t="s">
        <v>220</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9" t="str">
        <f t="shared" si="42"/>
        <v/>
      </c>
      <c r="F1403" t="str">
        <f t="shared" si="43"/>
        <v/>
      </c>
    </row>
    <row r="1404" spans="1:6" ht="15" hidden="1" customHeight="1" x14ac:dyDescent="0.3">
      <c r="A1404" t="s">
        <v>220</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9" t="str">
        <f t="shared" si="42"/>
        <v/>
      </c>
      <c r="F1404" t="str">
        <f t="shared" si="43"/>
        <v/>
      </c>
    </row>
    <row r="1405" spans="1:6" ht="15" hidden="1" customHeight="1" x14ac:dyDescent="0.3">
      <c r="A1405" t="s">
        <v>220</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9" t="str">
        <f t="shared" si="42"/>
        <v/>
      </c>
      <c r="F1405" t="str">
        <f t="shared" si="43"/>
        <v/>
      </c>
    </row>
    <row r="1406" spans="1:6" ht="15" hidden="1" customHeight="1" x14ac:dyDescent="0.3">
      <c r="A1406" t="s">
        <v>222</v>
      </c>
      <c r="B1406" s="2">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9" t="str">
        <f t="shared" si="42"/>
        <v/>
      </c>
      <c r="F1406" t="str">
        <f t="shared" si="43"/>
        <v/>
      </c>
    </row>
    <row r="1407" spans="1:6" ht="15" hidden="1" customHeight="1" x14ac:dyDescent="0.3">
      <c r="A1407" t="s">
        <v>222</v>
      </c>
      <c r="B1407" s="2">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9" t="str">
        <f t="shared" si="42"/>
        <v/>
      </c>
      <c r="F1407" t="str">
        <f t="shared" si="43"/>
        <v/>
      </c>
    </row>
    <row r="1408" spans="1:6" ht="15" hidden="1" customHeight="1" x14ac:dyDescent="0.3">
      <c r="A1408" t="s">
        <v>222</v>
      </c>
      <c r="B1408" s="2">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9" t="str">
        <f t="shared" si="42"/>
        <v/>
      </c>
      <c r="F1408" t="str">
        <f t="shared" si="43"/>
        <v/>
      </c>
    </row>
    <row r="1409" spans="1:6" ht="15" hidden="1" customHeight="1" x14ac:dyDescent="0.3">
      <c r="A1409" t="s">
        <v>222</v>
      </c>
      <c r="B1409" s="2">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9" t="str">
        <f t="shared" si="42"/>
        <v/>
      </c>
      <c r="F1409" t="str">
        <f t="shared" si="43"/>
        <v/>
      </c>
    </row>
    <row r="1410" spans="1:6" ht="15" hidden="1" customHeight="1" x14ac:dyDescent="0.3">
      <c r="A1410" t="s">
        <v>222</v>
      </c>
      <c r="B1410" s="2">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9" t="str">
        <f t="shared" ref="E1410:E1473" si="44">IF(OR(C1410="",D1410="",D1410=0),"",C1410/D1410)</f>
        <v/>
      </c>
      <c r="F1410" t="str">
        <f t="shared" ref="F1410:F1473" si="45">IF(E1410="","",IF(E1410&gt;=0.9,"Expected",IF(E1410&gt;=0.7,"Moderate","Poor")))</f>
        <v/>
      </c>
    </row>
    <row r="1411" spans="1:6" ht="15" hidden="1" customHeight="1" x14ac:dyDescent="0.3">
      <c r="A1411" t="s">
        <v>222</v>
      </c>
      <c r="B1411" s="2">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9" t="str">
        <f t="shared" si="44"/>
        <v/>
      </c>
      <c r="F1411" t="str">
        <f t="shared" si="45"/>
        <v/>
      </c>
    </row>
    <row r="1412" spans="1:6" ht="15" hidden="1" customHeight="1" x14ac:dyDescent="0.3">
      <c r="A1412" t="s">
        <v>222</v>
      </c>
      <c r="B1412" s="2">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9" t="str">
        <f t="shared" si="44"/>
        <v/>
      </c>
      <c r="F1412" t="str">
        <f t="shared" si="45"/>
        <v/>
      </c>
    </row>
    <row r="1413" spans="1:6" ht="15" hidden="1" customHeight="1" x14ac:dyDescent="0.3">
      <c r="A1413" t="s">
        <v>222</v>
      </c>
      <c r="B1413" s="2">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9" t="str">
        <f t="shared" si="44"/>
        <v/>
      </c>
      <c r="F1413" t="str">
        <f t="shared" si="45"/>
        <v/>
      </c>
    </row>
    <row r="1414" spans="1:6" ht="15" hidden="1" customHeight="1" x14ac:dyDescent="0.3">
      <c r="A1414" t="s">
        <v>222</v>
      </c>
      <c r="B1414" s="2">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9" t="str">
        <f t="shared" si="44"/>
        <v/>
      </c>
      <c r="F1414" t="str">
        <f t="shared" si="45"/>
        <v/>
      </c>
    </row>
    <row r="1415" spans="1:6" ht="15" hidden="1" customHeight="1" x14ac:dyDescent="0.3">
      <c r="A1415" t="s">
        <v>222</v>
      </c>
      <c r="B1415" s="2">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9" t="str">
        <f t="shared" si="44"/>
        <v/>
      </c>
      <c r="F1415" t="str">
        <f t="shared" si="45"/>
        <v/>
      </c>
    </row>
    <row r="1416" spans="1:6" ht="15" hidden="1" customHeight="1" x14ac:dyDescent="0.3">
      <c r="A1416" t="s">
        <v>222</v>
      </c>
      <c r="B1416" s="2">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9" t="str">
        <f t="shared" si="44"/>
        <v/>
      </c>
      <c r="F1416" t="str">
        <f t="shared" si="45"/>
        <v/>
      </c>
    </row>
    <row r="1417" spans="1:6" ht="15" hidden="1" customHeight="1" x14ac:dyDescent="0.3">
      <c r="A1417" t="s">
        <v>222</v>
      </c>
      <c r="B1417" s="2">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9" t="str">
        <f t="shared" si="44"/>
        <v/>
      </c>
      <c r="F1417" t="str">
        <f t="shared" si="45"/>
        <v/>
      </c>
    </row>
    <row r="1418" spans="1:6" ht="15" hidden="1" customHeight="1" x14ac:dyDescent="0.3">
      <c r="A1418" t="s">
        <v>222</v>
      </c>
      <c r="B1418" s="2">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9" t="str">
        <f t="shared" si="44"/>
        <v/>
      </c>
      <c r="F1418" t="str">
        <f t="shared" si="45"/>
        <v/>
      </c>
    </row>
    <row r="1419" spans="1:6" ht="15" hidden="1" customHeight="1" x14ac:dyDescent="0.3">
      <c r="A1419" t="s">
        <v>222</v>
      </c>
      <c r="B1419" s="2">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9" t="str">
        <f t="shared" si="44"/>
        <v/>
      </c>
      <c r="F1419" t="str">
        <f t="shared" si="45"/>
        <v/>
      </c>
    </row>
    <row r="1420" spans="1:6" ht="15" hidden="1" customHeight="1" x14ac:dyDescent="0.3">
      <c r="A1420" t="s">
        <v>222</v>
      </c>
      <c r="B1420" s="2">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9" t="str">
        <f t="shared" si="44"/>
        <v/>
      </c>
      <c r="F1420" t="str">
        <f t="shared" si="45"/>
        <v/>
      </c>
    </row>
    <row r="1421" spans="1:6" ht="15" hidden="1" customHeight="1" x14ac:dyDescent="0.3">
      <c r="A1421" t="s">
        <v>222</v>
      </c>
      <c r="B1421" s="2">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9" t="str">
        <f t="shared" si="44"/>
        <v/>
      </c>
      <c r="F1421" t="str">
        <f t="shared" si="45"/>
        <v/>
      </c>
    </row>
    <row r="1422" spans="1:6" ht="15" hidden="1" customHeight="1" x14ac:dyDescent="0.3">
      <c r="A1422" t="s">
        <v>222</v>
      </c>
      <c r="B1422" s="2">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9" t="str">
        <f t="shared" si="44"/>
        <v/>
      </c>
      <c r="F1422" t="str">
        <f t="shared" si="45"/>
        <v/>
      </c>
    </row>
    <row r="1423" spans="1:6" ht="15" hidden="1" customHeight="1" x14ac:dyDescent="0.3">
      <c r="A1423" t="s">
        <v>222</v>
      </c>
      <c r="B1423" s="2">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9" t="str">
        <f t="shared" si="44"/>
        <v/>
      </c>
      <c r="F1423" t="str">
        <f t="shared" si="45"/>
        <v/>
      </c>
    </row>
    <row r="1424" spans="1:6" ht="15" hidden="1" customHeight="1" x14ac:dyDescent="0.3">
      <c r="A1424" t="s">
        <v>222</v>
      </c>
      <c r="B1424" s="2">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9" t="str">
        <f t="shared" si="44"/>
        <v/>
      </c>
      <c r="F1424" t="str">
        <f t="shared" si="45"/>
        <v/>
      </c>
    </row>
    <row r="1425" spans="1:6" ht="15" hidden="1" customHeight="1" x14ac:dyDescent="0.3">
      <c r="A1425" t="s">
        <v>222</v>
      </c>
      <c r="B1425" s="2">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9" t="str">
        <f t="shared" si="44"/>
        <v/>
      </c>
      <c r="F1425" t="str">
        <f t="shared" si="45"/>
        <v/>
      </c>
    </row>
    <row r="1426" spans="1:6" ht="15" hidden="1" customHeight="1" x14ac:dyDescent="0.3">
      <c r="A1426" t="s">
        <v>222</v>
      </c>
      <c r="B1426" s="2">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9" t="str">
        <f t="shared" si="44"/>
        <v/>
      </c>
      <c r="F1426" t="str">
        <f t="shared" si="45"/>
        <v/>
      </c>
    </row>
    <row r="1427" spans="1:6" ht="15" hidden="1" customHeight="1" x14ac:dyDescent="0.3">
      <c r="A1427" t="s">
        <v>222</v>
      </c>
      <c r="B1427" s="2">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9">
        <f t="shared" si="44"/>
        <v>0.96796685943972771</v>
      </c>
      <c r="F1427" t="str">
        <f t="shared" si="45"/>
        <v>Expected</v>
      </c>
    </row>
    <row r="1428" spans="1:6" ht="15" hidden="1" customHeight="1" x14ac:dyDescent="0.3">
      <c r="A1428" t="s">
        <v>222</v>
      </c>
      <c r="B1428" s="2">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9">
        <f t="shared" si="44"/>
        <v>0.81037885088963912</v>
      </c>
      <c r="F1428" t="str">
        <f t="shared" si="45"/>
        <v>Moderate</v>
      </c>
    </row>
    <row r="1429" spans="1:6" ht="15" hidden="1" customHeight="1" x14ac:dyDescent="0.3">
      <c r="A1429" t="s">
        <v>222</v>
      </c>
      <c r="B1429" s="2">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9">
        <f t="shared" si="44"/>
        <v>0.72521671172356594</v>
      </c>
      <c r="F1429" t="str">
        <f t="shared" si="45"/>
        <v>Moderate</v>
      </c>
    </row>
    <row r="1430" spans="1:6" ht="15" hidden="1" customHeight="1" x14ac:dyDescent="0.3">
      <c r="A1430" t="s">
        <v>222</v>
      </c>
      <c r="B1430" s="2">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9">
        <f t="shared" si="44"/>
        <v>0.95683563090156509</v>
      </c>
      <c r="F1430" t="str">
        <f t="shared" si="45"/>
        <v>Expected</v>
      </c>
    </row>
    <row r="1431" spans="1:6" ht="15" hidden="1" customHeight="1" x14ac:dyDescent="0.3">
      <c r="A1431" t="s">
        <v>222</v>
      </c>
      <c r="B1431" s="2">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9">
        <f t="shared" si="44"/>
        <v>0.87761565202096048</v>
      </c>
      <c r="F1431" t="str">
        <f t="shared" si="45"/>
        <v>Moderate</v>
      </c>
    </row>
    <row r="1432" spans="1:6" ht="15" hidden="1" customHeight="1" x14ac:dyDescent="0.3">
      <c r="A1432" t="s">
        <v>222</v>
      </c>
      <c r="B1432" s="2">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9">
        <f t="shared" si="44"/>
        <v>0.85819762365713848</v>
      </c>
      <c r="F1432" t="str">
        <f t="shared" si="45"/>
        <v>Moderate</v>
      </c>
    </row>
    <row r="1433" spans="1:6" ht="15" hidden="1" customHeight="1" x14ac:dyDescent="0.3">
      <c r="A1433" t="s">
        <v>222</v>
      </c>
      <c r="B1433" s="2">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9">
        <f t="shared" si="44"/>
        <v>0.76733706138199409</v>
      </c>
      <c r="F1433" t="str">
        <f t="shared" si="45"/>
        <v>Moderate</v>
      </c>
    </row>
    <row r="1434" spans="1:6" ht="15" hidden="1" customHeight="1" x14ac:dyDescent="0.3">
      <c r="A1434" t="s">
        <v>222</v>
      </c>
      <c r="B1434" s="2">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9">
        <f t="shared" si="44"/>
        <v>0.95785233794336244</v>
      </c>
      <c r="F1434" t="str">
        <f t="shared" si="45"/>
        <v>Expected</v>
      </c>
    </row>
    <row r="1435" spans="1:6" ht="15" hidden="1" customHeight="1" x14ac:dyDescent="0.3">
      <c r="A1435" t="s">
        <v>222</v>
      </c>
      <c r="B1435" s="2">
        <v>46174</v>
      </c>
      <c r="C1435" cm="1">
        <f t="array" ref="C1435">IFERROR(IF(SUMPRODUCT((measured[Site Name]=A1435)*(measured[Date]=B1435)*ISNUMBER(measured[Measured Value (kWh)]))=0,"",SUMIFS(measured[Measured Value (kWh)],measured[Site Name],A1435,measured[Date],B1435)),"")</f>
        <v>5600</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9">
        <f t="shared" si="44"/>
        <v>0.7421543681085665</v>
      </c>
      <c r="F1435" t="str">
        <f t="shared" si="45"/>
        <v>Moderate</v>
      </c>
    </row>
    <row r="1436" spans="1:6" ht="15" hidden="1" customHeight="1" x14ac:dyDescent="0.3">
      <c r="A1436" t="s">
        <v>222</v>
      </c>
      <c r="B1436" s="2">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9" t="str">
        <f t="shared" si="44"/>
        <v/>
      </c>
      <c r="F1436" t="str">
        <f t="shared" si="45"/>
        <v/>
      </c>
    </row>
    <row r="1437" spans="1:6" ht="15" hidden="1" customHeight="1" x14ac:dyDescent="0.3">
      <c r="A1437" t="s">
        <v>222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9" t="str">
        <f t="shared" si="44"/>
        <v/>
      </c>
      <c r="F1437" t="str">
        <f t="shared" si="45"/>
        <v/>
      </c>
    </row>
    <row r="1438" spans="1:6" ht="15" hidden="1" customHeight="1" x14ac:dyDescent="0.3">
      <c r="A1438" t="s">
        <v>222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9" t="str">
        <f t="shared" si="44"/>
        <v/>
      </c>
      <c r="F1438" t="str">
        <f t="shared" si="45"/>
        <v/>
      </c>
    </row>
    <row r="1439" spans="1:6" ht="15" hidden="1" customHeight="1" x14ac:dyDescent="0.3">
      <c r="A1439" t="s">
        <v>222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9" t="str">
        <f t="shared" si="44"/>
        <v/>
      </c>
      <c r="F1439" t="str">
        <f t="shared" si="45"/>
        <v/>
      </c>
    </row>
    <row r="1440" spans="1:6" ht="15" hidden="1" customHeight="1" x14ac:dyDescent="0.3">
      <c r="A1440" t="s">
        <v>222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9" t="str">
        <f t="shared" si="44"/>
        <v/>
      </c>
      <c r="F1440" t="str">
        <f t="shared" si="45"/>
        <v/>
      </c>
    </row>
    <row r="1441" spans="1:6" ht="15" hidden="1" customHeight="1" x14ac:dyDescent="0.3">
      <c r="A1441" t="s">
        <v>222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9" t="str">
        <f t="shared" si="44"/>
        <v/>
      </c>
      <c r="F1441" t="str">
        <f t="shared" si="45"/>
        <v/>
      </c>
    </row>
    <row r="1442" spans="1:6" ht="15" hidden="1" customHeight="1" x14ac:dyDescent="0.3">
      <c r="A1442" t="s">
        <v>142</v>
      </c>
      <c r="B1442" s="2">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9">
        <f t="shared" si="44"/>
        <v>5.9275675865829415E-2</v>
      </c>
      <c r="F1442" t="str">
        <f t="shared" si="45"/>
        <v>Poor</v>
      </c>
    </row>
    <row r="1443" spans="1:6" ht="15" hidden="1" customHeight="1" x14ac:dyDescent="0.3">
      <c r="A1443" t="s">
        <v>142</v>
      </c>
      <c r="B1443" s="2">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9">
        <f t="shared" si="44"/>
        <v>0.88311579651941097</v>
      </c>
      <c r="F1443" t="str">
        <f t="shared" si="45"/>
        <v>Moderate</v>
      </c>
    </row>
    <row r="1444" spans="1:6" ht="15" hidden="1" customHeight="1" x14ac:dyDescent="0.3">
      <c r="A1444" t="s">
        <v>142</v>
      </c>
      <c r="B1444" s="2">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9">
        <f t="shared" si="44"/>
        <v>1.0961179998379122</v>
      </c>
      <c r="F1444" t="str">
        <f t="shared" si="45"/>
        <v>Expected</v>
      </c>
    </row>
    <row r="1445" spans="1:6" ht="15" hidden="1" customHeight="1" x14ac:dyDescent="0.3">
      <c r="A1445" t="s">
        <v>142</v>
      </c>
      <c r="B1445" s="2">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9">
        <f t="shared" si="44"/>
        <v>1.1007890632168087</v>
      </c>
      <c r="F1445" t="str">
        <f t="shared" si="45"/>
        <v>Expected</v>
      </c>
    </row>
    <row r="1446" spans="1:6" ht="15" hidden="1" customHeight="1" x14ac:dyDescent="0.3">
      <c r="A1446" t="s">
        <v>142</v>
      </c>
      <c r="B1446" s="2">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9">
        <f t="shared" si="44"/>
        <v>1.0414878397711016</v>
      </c>
      <c r="F1446" t="str">
        <f t="shared" si="45"/>
        <v>Expected</v>
      </c>
    </row>
    <row r="1447" spans="1:6" ht="15" hidden="1" customHeight="1" x14ac:dyDescent="0.3">
      <c r="A1447" t="s">
        <v>142</v>
      </c>
      <c r="B1447" s="2">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9">
        <f t="shared" si="44"/>
        <v>0.86600151884149057</v>
      </c>
      <c r="F1447" t="str">
        <f t="shared" si="45"/>
        <v>Moderate</v>
      </c>
    </row>
    <row r="1448" spans="1:6" ht="15" hidden="1" customHeight="1" x14ac:dyDescent="0.3">
      <c r="A1448" t="s">
        <v>142</v>
      </c>
      <c r="B1448" s="2">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9">
        <f t="shared" si="44"/>
        <v>0.90553421539337042</v>
      </c>
      <c r="F1448" t="str">
        <f t="shared" si="45"/>
        <v>Expected</v>
      </c>
    </row>
    <row r="1449" spans="1:6" ht="15" hidden="1" customHeight="1" x14ac:dyDescent="0.3">
      <c r="A1449" t="s">
        <v>142</v>
      </c>
      <c r="B1449" s="2">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9">
        <f t="shared" si="44"/>
        <v>1.0623980845047165</v>
      </c>
      <c r="F1449" t="str">
        <f t="shared" si="45"/>
        <v>Expected</v>
      </c>
    </row>
    <row r="1450" spans="1:6" ht="15" hidden="1" customHeight="1" x14ac:dyDescent="0.3">
      <c r="A1450" t="s">
        <v>142</v>
      </c>
      <c r="B1450" s="2">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9">
        <f t="shared" si="44"/>
        <v>0.7737589856795154</v>
      </c>
      <c r="F1450" t="str">
        <f t="shared" si="45"/>
        <v>Moderate</v>
      </c>
    </row>
    <row r="1451" spans="1:6" ht="15" hidden="1" customHeight="1" x14ac:dyDescent="0.3">
      <c r="A1451" t="s">
        <v>142</v>
      </c>
      <c r="B1451" s="2">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9">
        <f t="shared" si="44"/>
        <v>1.1629876660843788</v>
      </c>
      <c r="F1451" t="str">
        <f t="shared" si="45"/>
        <v>Expected</v>
      </c>
    </row>
    <row r="1452" spans="1:6" ht="15" hidden="1" customHeight="1" x14ac:dyDescent="0.3">
      <c r="A1452" t="s">
        <v>142</v>
      </c>
      <c r="B1452" s="2">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9">
        <f t="shared" si="44"/>
        <v>0.88191888479934566</v>
      </c>
      <c r="F1452" t="str">
        <f t="shared" si="45"/>
        <v>Moderate</v>
      </c>
    </row>
    <row r="1453" spans="1:6" ht="15" hidden="1" customHeight="1" x14ac:dyDescent="0.3">
      <c r="A1453" t="s">
        <v>142</v>
      </c>
      <c r="B1453" s="2">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9">
        <f t="shared" si="44"/>
        <v>0.10874278661729878</v>
      </c>
      <c r="F1453" t="str">
        <f t="shared" si="45"/>
        <v>Poor</v>
      </c>
    </row>
    <row r="1454" spans="1:6" ht="15" hidden="1" customHeight="1" x14ac:dyDescent="0.3">
      <c r="A1454" t="s">
        <v>142</v>
      </c>
      <c r="B1454" s="2">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9">
        <f t="shared" si="44"/>
        <v>0.12664239354123794</v>
      </c>
      <c r="F1454" t="str">
        <f t="shared" si="45"/>
        <v>Poor</v>
      </c>
    </row>
    <row r="1455" spans="1:6" ht="15" hidden="1" customHeight="1" x14ac:dyDescent="0.3">
      <c r="A1455" t="s">
        <v>142</v>
      </c>
      <c r="B1455" s="2">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9">
        <f t="shared" si="44"/>
        <v>0.78982597054886206</v>
      </c>
      <c r="F1455" t="str">
        <f t="shared" si="45"/>
        <v>Moderate</v>
      </c>
    </row>
    <row r="1456" spans="1:6" ht="15" hidden="1" customHeight="1" x14ac:dyDescent="0.3">
      <c r="A1456" t="s">
        <v>142</v>
      </c>
      <c r="B1456" s="2">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9">
        <f t="shared" si="44"/>
        <v>0.89452143609692836</v>
      </c>
      <c r="F1456" t="str">
        <f t="shared" si="45"/>
        <v>Moderate</v>
      </c>
    </row>
    <row r="1457" spans="1:6" ht="15" hidden="1" customHeight="1" x14ac:dyDescent="0.3">
      <c r="A1457" t="s">
        <v>142</v>
      </c>
      <c r="B1457" s="2">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9">
        <f t="shared" si="44"/>
        <v>0.8145242682814936</v>
      </c>
      <c r="F1457" t="str">
        <f t="shared" si="45"/>
        <v>Moderate</v>
      </c>
    </row>
    <row r="1458" spans="1:6" ht="15" hidden="1" customHeight="1" x14ac:dyDescent="0.3">
      <c r="A1458" t="s">
        <v>142</v>
      </c>
      <c r="B1458" s="2">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9">
        <f t="shared" si="44"/>
        <v>1.0920362422508345</v>
      </c>
      <c r="F1458" t="str">
        <f t="shared" si="45"/>
        <v>Expected</v>
      </c>
    </row>
    <row r="1459" spans="1:6" ht="15" hidden="1" customHeight="1" x14ac:dyDescent="0.3">
      <c r="A1459" t="s">
        <v>142</v>
      </c>
      <c r="B1459" s="2">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9">
        <f t="shared" si="44"/>
        <v>1.0385209626312621</v>
      </c>
      <c r="F1459" t="str">
        <f t="shared" si="45"/>
        <v>Expected</v>
      </c>
    </row>
    <row r="1460" spans="1:6" ht="15" hidden="1" customHeight="1" x14ac:dyDescent="0.3">
      <c r="A1460" t="s">
        <v>142</v>
      </c>
      <c r="B1460" s="2">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9">
        <f t="shared" si="44"/>
        <v>0.95200834637454368</v>
      </c>
      <c r="F1460" t="str">
        <f t="shared" si="45"/>
        <v>Expected</v>
      </c>
    </row>
    <row r="1461" spans="1:6" ht="15" hidden="1" customHeight="1" x14ac:dyDescent="0.3">
      <c r="A1461" t="s">
        <v>142</v>
      </c>
      <c r="B1461" s="2">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9">
        <f t="shared" si="44"/>
        <v>0.948046318657502</v>
      </c>
      <c r="F1461" t="str">
        <f t="shared" si="45"/>
        <v>Expected</v>
      </c>
    </row>
    <row r="1462" spans="1:6" ht="15" hidden="1" customHeight="1" x14ac:dyDescent="0.3">
      <c r="A1462" t="s">
        <v>142</v>
      </c>
      <c r="B1462" s="2">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9">
        <f t="shared" si="44"/>
        <v>0.83545593479368307</v>
      </c>
      <c r="F1462" t="str">
        <f t="shared" si="45"/>
        <v>Moderate</v>
      </c>
    </row>
    <row r="1463" spans="1:6" ht="15" hidden="1" customHeight="1" x14ac:dyDescent="0.3">
      <c r="A1463" t="s">
        <v>142</v>
      </c>
      <c r="B1463" s="2">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9">
        <f t="shared" si="44"/>
        <v>1.0590581052705874</v>
      </c>
      <c r="F1463" t="str">
        <f t="shared" si="45"/>
        <v>Expected</v>
      </c>
    </row>
    <row r="1464" spans="1:6" ht="15" hidden="1" customHeight="1" x14ac:dyDescent="0.3">
      <c r="A1464" t="s">
        <v>142</v>
      </c>
      <c r="B1464" s="2">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9">
        <f t="shared" si="44"/>
        <v>0.76207748795362806</v>
      </c>
      <c r="F1464" t="str">
        <f t="shared" si="45"/>
        <v>Moderate</v>
      </c>
    </row>
    <row r="1465" spans="1:6" ht="15" hidden="1" customHeight="1" x14ac:dyDescent="0.3">
      <c r="A1465" t="s">
        <v>142</v>
      </c>
      <c r="B1465" s="2">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9">
        <f t="shared" si="44"/>
        <v>0.1642816638313486</v>
      </c>
      <c r="F1465" t="str">
        <f t="shared" si="45"/>
        <v>Poor</v>
      </c>
    </row>
    <row r="1466" spans="1:6" ht="15" hidden="1" customHeight="1" x14ac:dyDescent="0.3">
      <c r="A1466" t="s">
        <v>142</v>
      </c>
      <c r="B1466" s="2">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9">
        <f t="shared" si="44"/>
        <v>0.2632754647951735</v>
      </c>
      <c r="F1466" t="str">
        <f t="shared" si="45"/>
        <v>Poor</v>
      </c>
    </row>
    <row r="1467" spans="1:6" ht="15" hidden="1" customHeight="1" x14ac:dyDescent="0.3">
      <c r="A1467" t="s">
        <v>142</v>
      </c>
      <c r="B1467" s="2">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9">
        <f t="shared" si="44"/>
        <v>0.99042001338688079</v>
      </c>
      <c r="F1467" t="str">
        <f t="shared" si="45"/>
        <v>Expected</v>
      </c>
    </row>
    <row r="1468" spans="1:6" ht="15" hidden="1" customHeight="1" x14ac:dyDescent="0.3">
      <c r="A1468" t="s">
        <v>142</v>
      </c>
      <c r="B1468" s="2">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9">
        <f t="shared" si="44"/>
        <v>0.96178782721452294</v>
      </c>
      <c r="F1468" t="str">
        <f t="shared" si="45"/>
        <v>Expected</v>
      </c>
    </row>
    <row r="1469" spans="1:6" ht="15" hidden="1" customHeight="1" x14ac:dyDescent="0.3">
      <c r="A1469" t="s">
        <v>142</v>
      </c>
      <c r="B1469" s="2">
        <v>46113</v>
      </c>
      <c r="C1469" s="5"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9">
        <f t="shared" si="44"/>
        <v>0.92597944765574813</v>
      </c>
      <c r="F1469" t="str">
        <f t="shared" si="45"/>
        <v>Expected</v>
      </c>
    </row>
    <row r="1470" spans="1:6" ht="15" hidden="1" customHeight="1" x14ac:dyDescent="0.3">
      <c r="A1470" t="s">
        <v>142</v>
      </c>
      <c r="B1470" s="2">
        <v>46143</v>
      </c>
      <c r="C1470" s="5"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9">
        <f t="shared" si="44"/>
        <v>0.99666189794945159</v>
      </c>
      <c r="F1470" t="str">
        <f t="shared" si="45"/>
        <v>Expected</v>
      </c>
    </row>
    <row r="1471" spans="1:6" ht="15" hidden="1" customHeight="1" x14ac:dyDescent="0.3">
      <c r="A1471" t="s">
        <v>142</v>
      </c>
      <c r="B1471" s="2">
        <v>46174</v>
      </c>
      <c r="C1471" cm="1">
        <f t="array" ref="C1471">IFERROR(IF(SUMPRODUCT((measured[Site Name]=A1471)*(measured[Date]=B1471)*ISNUMBER(measured[Measured Value (kWh)]))=0,"",SUMIFS(measured[Measured Value (kWh)],measured[Site Name],A1471,measured[Date],B1471)),"")</f>
        <v>3164</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9">
        <f t="shared" si="44"/>
        <v>0.82855422002252077</v>
      </c>
      <c r="F1471" t="str">
        <f t="shared" si="45"/>
        <v>Moderate</v>
      </c>
    </row>
    <row r="1472" spans="1:6" ht="15" hidden="1" customHeight="1" x14ac:dyDescent="0.3">
      <c r="A1472" t="s">
        <v>142</v>
      </c>
      <c r="B1472" s="2">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9" t="str">
        <f t="shared" si="44"/>
        <v/>
      </c>
      <c r="F1472" t="str">
        <f t="shared" si="45"/>
        <v/>
      </c>
    </row>
    <row r="1473" spans="1:6" ht="15" hidden="1" customHeight="1" x14ac:dyDescent="0.3">
      <c r="A1473" t="s">
        <v>142</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9" t="str">
        <f t="shared" si="44"/>
        <v/>
      </c>
      <c r="F1473" t="str">
        <f t="shared" si="45"/>
        <v/>
      </c>
    </row>
    <row r="1474" spans="1:6" ht="15" hidden="1" customHeight="1" x14ac:dyDescent="0.3">
      <c r="A1474" t="s">
        <v>142</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9" t="str">
        <f t="shared" ref="E1474:E1537" si="46">IF(OR(C1474="",D1474="",D1474=0),"",C1474/D1474)</f>
        <v/>
      </c>
      <c r="F1474" t="str">
        <f t="shared" ref="F1474:F1537" si="47">IF(E1474="","",IF(E1474&gt;=0.9,"Expected",IF(E1474&gt;=0.7,"Moderate","Poor")))</f>
        <v/>
      </c>
    </row>
    <row r="1475" spans="1:6" ht="15" hidden="1" customHeight="1" x14ac:dyDescent="0.3">
      <c r="A1475" t="s">
        <v>142</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9" t="str">
        <f t="shared" si="46"/>
        <v/>
      </c>
      <c r="F1475" t="str">
        <f t="shared" si="47"/>
        <v/>
      </c>
    </row>
    <row r="1476" spans="1:6" ht="15" hidden="1" customHeight="1" x14ac:dyDescent="0.3">
      <c r="A1476" t="s">
        <v>142</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9" t="str">
        <f t="shared" si="46"/>
        <v/>
      </c>
      <c r="F1476" t="str">
        <f t="shared" si="47"/>
        <v/>
      </c>
    </row>
    <row r="1477" spans="1:6" ht="15" hidden="1" customHeight="1" x14ac:dyDescent="0.3">
      <c r="A1477" t="s">
        <v>142</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9" t="str">
        <f t="shared" si="46"/>
        <v/>
      </c>
      <c r="F1477" t="str">
        <f t="shared" si="47"/>
        <v/>
      </c>
    </row>
    <row r="1478" spans="1:6" ht="15" hidden="1" customHeight="1" x14ac:dyDescent="0.3">
      <c r="A1478" t="s">
        <v>145</v>
      </c>
      <c r="B1478" s="2">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9">
        <f t="shared" si="46"/>
        <v>0.66335860968422034</v>
      </c>
      <c r="F1478" t="str">
        <f t="shared" si="47"/>
        <v>Poor</v>
      </c>
    </row>
    <row r="1479" spans="1:6" ht="15" hidden="1" customHeight="1" x14ac:dyDescent="0.3">
      <c r="A1479" t="s">
        <v>145</v>
      </c>
      <c r="B1479" s="2">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9">
        <f t="shared" si="46"/>
        <v>0.9637773914106984</v>
      </c>
      <c r="F1479" t="str">
        <f t="shared" si="47"/>
        <v>Expected</v>
      </c>
    </row>
    <row r="1480" spans="1:6" ht="15" hidden="1" customHeight="1" x14ac:dyDescent="0.3">
      <c r="A1480" t="s">
        <v>145</v>
      </c>
      <c r="B1480" s="2">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9">
        <f t="shared" si="46"/>
        <v>0.96649396416518818</v>
      </c>
      <c r="F1480" t="str">
        <f t="shared" si="47"/>
        <v>Expected</v>
      </c>
    </row>
    <row r="1481" spans="1:6" ht="15" hidden="1" customHeight="1" x14ac:dyDescent="0.3">
      <c r="A1481" t="s">
        <v>145</v>
      </c>
      <c r="B1481" s="2">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9">
        <f t="shared" si="46"/>
        <v>0.69497451353420758</v>
      </c>
      <c r="F1481" t="str">
        <f t="shared" si="47"/>
        <v>Poor</v>
      </c>
    </row>
    <row r="1482" spans="1:6" ht="15" hidden="1" customHeight="1" x14ac:dyDescent="0.3">
      <c r="A1482" t="s">
        <v>145</v>
      </c>
      <c r="B1482" s="2">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9">
        <f t="shared" si="46"/>
        <v>0.74887821490152962</v>
      </c>
      <c r="F1482" t="str">
        <f t="shared" si="47"/>
        <v>Moderate</v>
      </c>
    </row>
    <row r="1483" spans="1:6" ht="15" hidden="1" customHeight="1" x14ac:dyDescent="0.3">
      <c r="A1483" t="s">
        <v>145</v>
      </c>
      <c r="B1483" s="2">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9">
        <f t="shared" si="46"/>
        <v>0.69970834937404891</v>
      </c>
      <c r="F1483" t="str">
        <f t="shared" si="47"/>
        <v>Poor</v>
      </c>
    </row>
    <row r="1484" spans="1:6" ht="15" hidden="1" customHeight="1" x14ac:dyDescent="0.3">
      <c r="A1484" t="s">
        <v>145</v>
      </c>
      <c r="B1484" s="2">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9">
        <f t="shared" si="46"/>
        <v>0.76571613678402972</v>
      </c>
      <c r="F1484" t="str">
        <f t="shared" si="47"/>
        <v>Moderate</v>
      </c>
    </row>
    <row r="1485" spans="1:6" ht="15" hidden="1" customHeight="1" x14ac:dyDescent="0.3">
      <c r="A1485" t="s">
        <v>145</v>
      </c>
      <c r="B1485" s="2">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9">
        <f t="shared" si="46"/>
        <v>0.7616256028062639</v>
      </c>
      <c r="F1485" t="str">
        <f t="shared" si="47"/>
        <v>Moderate</v>
      </c>
    </row>
    <row r="1486" spans="1:6" ht="15" hidden="1" customHeight="1" x14ac:dyDescent="0.3">
      <c r="A1486" t="s">
        <v>145</v>
      </c>
      <c r="B1486" s="2">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9">
        <f t="shared" si="46"/>
        <v>0.66506346020472062</v>
      </c>
      <c r="F1486" t="str">
        <f t="shared" si="47"/>
        <v>Poor</v>
      </c>
    </row>
    <row r="1487" spans="1:6" ht="15" hidden="1" customHeight="1" x14ac:dyDescent="0.3">
      <c r="A1487" t="s">
        <v>145</v>
      </c>
      <c r="B1487" s="2">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9">
        <f t="shared" si="46"/>
        <v>1.0288682812865855</v>
      </c>
      <c r="F1487" t="str">
        <f t="shared" si="47"/>
        <v>Expected</v>
      </c>
    </row>
    <row r="1488" spans="1:6" ht="15" hidden="1" customHeight="1" x14ac:dyDescent="0.3">
      <c r="A1488" t="s">
        <v>145</v>
      </c>
      <c r="B1488" s="2">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9">
        <f t="shared" si="46"/>
        <v>1.0070285175271805</v>
      </c>
      <c r="F1488" t="str">
        <f t="shared" si="47"/>
        <v>Expected</v>
      </c>
    </row>
    <row r="1489" spans="1:6" ht="15" hidden="1" customHeight="1" x14ac:dyDescent="0.3">
      <c r="A1489" t="s">
        <v>145</v>
      </c>
      <c r="B1489" s="2">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9">
        <f t="shared" si="46"/>
        <v>0.48012475277642003</v>
      </c>
      <c r="F1489" t="str">
        <f t="shared" si="47"/>
        <v>Poor</v>
      </c>
    </row>
    <row r="1490" spans="1:6" ht="15" hidden="1" customHeight="1" x14ac:dyDescent="0.3">
      <c r="A1490" t="s">
        <v>145</v>
      </c>
      <c r="B1490" s="2">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9">
        <f t="shared" si="46"/>
        <v>0.86147317251206545</v>
      </c>
      <c r="F1490" t="str">
        <f t="shared" si="47"/>
        <v>Moderate</v>
      </c>
    </row>
    <row r="1491" spans="1:6" ht="15" hidden="1" customHeight="1" x14ac:dyDescent="0.3">
      <c r="A1491" t="s">
        <v>145</v>
      </c>
      <c r="B1491" s="2">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9">
        <f t="shared" si="46"/>
        <v>0.92199971369921463</v>
      </c>
      <c r="F1491" t="str">
        <f t="shared" si="47"/>
        <v>Expected</v>
      </c>
    </row>
    <row r="1492" spans="1:6" ht="15" hidden="1" customHeight="1" x14ac:dyDescent="0.3">
      <c r="A1492" t="s">
        <v>145</v>
      </c>
      <c r="B1492" s="2">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9">
        <f t="shared" si="46"/>
        <v>0.80858906377957529</v>
      </c>
      <c r="F1492" t="str">
        <f t="shared" si="47"/>
        <v>Moderate</v>
      </c>
    </row>
    <row r="1493" spans="1:6" ht="15" hidden="1" customHeight="1" x14ac:dyDescent="0.3">
      <c r="A1493" t="s">
        <v>145</v>
      </c>
      <c r="B1493" s="2">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9">
        <f t="shared" si="46"/>
        <v>0.7040805425288752</v>
      </c>
      <c r="F1493" t="str">
        <f t="shared" si="47"/>
        <v>Moderate</v>
      </c>
    </row>
    <row r="1494" spans="1:6" ht="15" hidden="1" customHeight="1" x14ac:dyDescent="0.3">
      <c r="A1494" t="s">
        <v>145</v>
      </c>
      <c r="B1494" s="2">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9">
        <f t="shared" si="46"/>
        <v>0.81984597053943087</v>
      </c>
      <c r="F1494" t="str">
        <f t="shared" si="47"/>
        <v>Moderate</v>
      </c>
    </row>
    <row r="1495" spans="1:6" ht="15" hidden="1" customHeight="1" x14ac:dyDescent="0.3">
      <c r="A1495" t="s">
        <v>145</v>
      </c>
      <c r="B1495" s="2">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9">
        <f t="shared" si="46"/>
        <v>0.76676328868106391</v>
      </c>
      <c r="F1495" t="str">
        <f t="shared" si="47"/>
        <v>Moderate</v>
      </c>
    </row>
    <row r="1496" spans="1:6" ht="15" hidden="1" customHeight="1" x14ac:dyDescent="0.3">
      <c r="A1496" t="s">
        <v>145</v>
      </c>
      <c r="B1496" s="2">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9">
        <f t="shared" si="46"/>
        <v>0.7387597248071226</v>
      </c>
      <c r="F1496" t="str">
        <f t="shared" si="47"/>
        <v>Moderate</v>
      </c>
    </row>
    <row r="1497" spans="1:6" ht="15" hidden="1" customHeight="1" x14ac:dyDescent="0.3">
      <c r="A1497" t="s">
        <v>145</v>
      </c>
      <c r="B1497" s="2">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9">
        <f t="shared" si="46"/>
        <v>0.73480818570270567</v>
      </c>
      <c r="F1497" t="str">
        <f t="shared" si="47"/>
        <v>Moderate</v>
      </c>
    </row>
    <row r="1498" spans="1:6" ht="15" hidden="1" customHeight="1" x14ac:dyDescent="0.3">
      <c r="A1498" t="s">
        <v>145</v>
      </c>
      <c r="B1498" s="2">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9">
        <f t="shared" si="46"/>
        <v>0.80246994882430855</v>
      </c>
      <c r="F1498" t="str">
        <f t="shared" si="47"/>
        <v>Moderate</v>
      </c>
    </row>
    <row r="1499" spans="1:6" ht="15" hidden="1" customHeight="1" x14ac:dyDescent="0.3">
      <c r="A1499" t="s">
        <v>145</v>
      </c>
      <c r="B1499" s="2">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9">
        <f t="shared" si="46"/>
        <v>0.9812904335849354</v>
      </c>
      <c r="F1499" t="str">
        <f t="shared" si="47"/>
        <v>Expected</v>
      </c>
    </row>
    <row r="1500" spans="1:6" ht="15" hidden="1" customHeight="1" x14ac:dyDescent="0.3">
      <c r="A1500" t="s">
        <v>145</v>
      </c>
      <c r="B1500" s="2">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9">
        <f t="shared" si="46"/>
        <v>0.91575772486904405</v>
      </c>
      <c r="F1500" t="str">
        <f t="shared" si="47"/>
        <v>Expected</v>
      </c>
    </row>
    <row r="1501" spans="1:6" ht="15" hidden="1" customHeight="1" x14ac:dyDescent="0.3">
      <c r="A1501" t="s">
        <v>145</v>
      </c>
      <c r="B1501" s="2">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9">
        <f t="shared" si="46"/>
        <v>0.57608397783508847</v>
      </c>
      <c r="F1501" t="str">
        <f t="shared" si="47"/>
        <v>Poor</v>
      </c>
    </row>
    <row r="1502" spans="1:6" ht="15" hidden="1" customHeight="1" x14ac:dyDescent="0.3">
      <c r="A1502" t="s">
        <v>145</v>
      </c>
      <c r="B1502" s="2">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9">
        <f t="shared" si="46"/>
        <v>0.93570154249804893</v>
      </c>
      <c r="F1502" t="str">
        <f t="shared" si="47"/>
        <v>Expected</v>
      </c>
    </row>
    <row r="1503" spans="1:6" ht="15" hidden="1" customHeight="1" x14ac:dyDescent="0.3">
      <c r="A1503" t="s">
        <v>145</v>
      </c>
      <c r="B1503" s="2">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9">
        <f t="shared" si="46"/>
        <v>0.98091638099129552</v>
      </c>
      <c r="F1503" t="str">
        <f t="shared" si="47"/>
        <v>Expected</v>
      </c>
    </row>
    <row r="1504" spans="1:6" ht="15" hidden="1" customHeight="1" x14ac:dyDescent="0.3">
      <c r="A1504" t="s">
        <v>145</v>
      </c>
      <c r="B1504" s="2">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9">
        <f t="shared" si="46"/>
        <v>0.90486920397658854</v>
      </c>
      <c r="F1504" t="str">
        <f t="shared" si="47"/>
        <v>Expected</v>
      </c>
    </row>
    <row r="1505" spans="1:6" ht="15" hidden="1" customHeight="1" x14ac:dyDescent="0.3">
      <c r="A1505" t="s">
        <v>145</v>
      </c>
      <c r="B1505" s="2">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9">
        <f t="shared" si="46"/>
        <v>0.80224323750874516</v>
      </c>
      <c r="F1505" t="str">
        <f t="shared" si="47"/>
        <v>Moderate</v>
      </c>
    </row>
    <row r="1506" spans="1:6" ht="15" hidden="1" customHeight="1" x14ac:dyDescent="0.3">
      <c r="A1506" t="s">
        <v>145</v>
      </c>
      <c r="B1506" s="2">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9">
        <f t="shared" si="46"/>
        <v>0.85757690777802364</v>
      </c>
      <c r="F1506" t="str">
        <f t="shared" si="47"/>
        <v>Moderate</v>
      </c>
    </row>
    <row r="1507" spans="1:6" ht="15" hidden="1" customHeight="1" x14ac:dyDescent="0.3">
      <c r="A1507" t="s">
        <v>145</v>
      </c>
      <c r="B1507" s="2">
        <v>46174</v>
      </c>
      <c r="C1507" cm="1">
        <f t="array" ref="C1507">IFERROR(IF(SUMPRODUCT((measured[Site Name]=A1507)*(measured[Date]=B1507)*ISNUMBER(measured[Measured Value (kWh)]))=0,"",SUMIFS(measured[Measured Value (kWh)],measured[Site Name],A1507,measured[Date],B1507)),"")</f>
        <v>20267.330000000002</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9">
        <f t="shared" si="46"/>
        <v>0.67516758810317767</v>
      </c>
      <c r="F1507" t="str">
        <f t="shared" si="47"/>
        <v>Poor</v>
      </c>
    </row>
    <row r="1508" spans="1:6" ht="15" hidden="1" customHeight="1" x14ac:dyDescent="0.3">
      <c r="A1508" t="s">
        <v>145</v>
      </c>
      <c r="B1508" s="2">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9" t="str">
        <f t="shared" si="46"/>
        <v/>
      </c>
      <c r="F1508" t="str">
        <f t="shared" si="47"/>
        <v/>
      </c>
    </row>
    <row r="1509" spans="1:6" ht="15" hidden="1" customHeight="1" x14ac:dyDescent="0.3">
      <c r="A1509" t="s">
        <v>145</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9" t="str">
        <f t="shared" si="46"/>
        <v/>
      </c>
      <c r="F1509" t="str">
        <f t="shared" si="47"/>
        <v/>
      </c>
    </row>
    <row r="1510" spans="1:6" ht="15" hidden="1" customHeight="1" x14ac:dyDescent="0.3">
      <c r="A1510" t="s">
        <v>145</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9" t="str">
        <f t="shared" si="46"/>
        <v/>
      </c>
      <c r="F1510" t="str">
        <f t="shared" si="47"/>
        <v/>
      </c>
    </row>
    <row r="1511" spans="1:6" ht="15" hidden="1" customHeight="1" x14ac:dyDescent="0.3">
      <c r="A1511" t="s">
        <v>145</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9" t="str">
        <f t="shared" si="46"/>
        <v/>
      </c>
      <c r="F1511" t="str">
        <f t="shared" si="47"/>
        <v/>
      </c>
    </row>
    <row r="1512" spans="1:6" ht="15" hidden="1" customHeight="1" x14ac:dyDescent="0.3">
      <c r="A1512" t="s">
        <v>145</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9" t="str">
        <f t="shared" si="46"/>
        <v/>
      </c>
      <c r="F1512" t="str">
        <f t="shared" si="47"/>
        <v/>
      </c>
    </row>
    <row r="1513" spans="1:6" ht="15" hidden="1" customHeight="1" x14ac:dyDescent="0.3">
      <c r="A1513" t="s">
        <v>145</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9" t="str">
        <f t="shared" si="46"/>
        <v/>
      </c>
      <c r="F1513" t="str">
        <f t="shared" si="47"/>
        <v/>
      </c>
    </row>
    <row r="1514" spans="1:6" ht="15" hidden="1" customHeight="1" x14ac:dyDescent="0.3">
      <c r="A1514" t="s">
        <v>152</v>
      </c>
      <c r="B1514" s="2">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9">
        <f t="shared" si="46"/>
        <v>1.0642962110604317</v>
      </c>
      <c r="F1514" t="str">
        <f t="shared" si="47"/>
        <v>Expected</v>
      </c>
    </row>
    <row r="1515" spans="1:6" ht="15" hidden="1" customHeight="1" x14ac:dyDescent="0.3">
      <c r="A1515" t="s">
        <v>152</v>
      </c>
      <c r="B1515" s="2">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9">
        <f t="shared" si="46"/>
        <v>1.1916060318464621</v>
      </c>
      <c r="F1515" t="str">
        <f t="shared" si="47"/>
        <v>Expected</v>
      </c>
    </row>
    <row r="1516" spans="1:6" ht="15" hidden="1" customHeight="1" x14ac:dyDescent="0.3">
      <c r="A1516" t="s">
        <v>152</v>
      </c>
      <c r="B1516" s="2">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9">
        <f t="shared" si="46"/>
        <v>1.091592044417637</v>
      </c>
      <c r="F1516" t="str">
        <f t="shared" si="47"/>
        <v>Expected</v>
      </c>
    </row>
    <row r="1517" spans="1:6" ht="15" hidden="1" customHeight="1" x14ac:dyDescent="0.3">
      <c r="A1517" t="s">
        <v>152</v>
      </c>
      <c r="B1517" s="2">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9">
        <f t="shared" si="46"/>
        <v>1.1377036392003192</v>
      </c>
      <c r="F1517" t="str">
        <f t="shared" si="47"/>
        <v>Expected</v>
      </c>
    </row>
    <row r="1518" spans="1:6" ht="15" hidden="1" customHeight="1" x14ac:dyDescent="0.3">
      <c r="A1518" t="s">
        <v>152</v>
      </c>
      <c r="B1518" s="2">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9">
        <f t="shared" si="46"/>
        <v>0.92362685756048202</v>
      </c>
      <c r="F1518" t="str">
        <f t="shared" si="47"/>
        <v>Expected</v>
      </c>
    </row>
    <row r="1519" spans="1:6" ht="15" hidden="1" customHeight="1" x14ac:dyDescent="0.3">
      <c r="A1519" t="s">
        <v>152</v>
      </c>
      <c r="B1519" s="2">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9">
        <f t="shared" si="46"/>
        <v>1.1775324675324674</v>
      </c>
      <c r="F1519" t="str">
        <f t="shared" si="47"/>
        <v>Expected</v>
      </c>
    </row>
    <row r="1520" spans="1:6" ht="15" hidden="1" customHeight="1" x14ac:dyDescent="0.3">
      <c r="A1520" t="s">
        <v>152</v>
      </c>
      <c r="B1520" s="2">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9">
        <f t="shared" si="46"/>
        <v>1.0547648223206711</v>
      </c>
      <c r="F1520" t="str">
        <f t="shared" si="47"/>
        <v>Expected</v>
      </c>
    </row>
    <row r="1521" spans="1:6" ht="15" hidden="1" customHeight="1" x14ac:dyDescent="0.3">
      <c r="A1521" t="s">
        <v>152</v>
      </c>
      <c r="B1521" s="2">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9">
        <f t="shared" si="46"/>
        <v>0.91249357829586319</v>
      </c>
      <c r="F1521" t="str">
        <f t="shared" si="47"/>
        <v>Expected</v>
      </c>
    </row>
    <row r="1522" spans="1:6" ht="15" hidden="1" customHeight="1" x14ac:dyDescent="0.3">
      <c r="A1522" t="s">
        <v>152</v>
      </c>
      <c r="B1522" s="2">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9">
        <f t="shared" si="46"/>
        <v>0.75748518654123487</v>
      </c>
      <c r="F1522" t="str">
        <f t="shared" si="47"/>
        <v>Moderate</v>
      </c>
    </row>
    <row r="1523" spans="1:6" ht="15" hidden="1" customHeight="1" x14ac:dyDescent="0.3">
      <c r="A1523" t="s">
        <v>152</v>
      </c>
      <c r="B1523" s="2">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9">
        <f t="shared" si="46"/>
        <v>1.1191544555843791</v>
      </c>
      <c r="F1523" t="str">
        <f t="shared" si="47"/>
        <v>Expected</v>
      </c>
    </row>
    <row r="1524" spans="1:6" ht="15" hidden="1" customHeight="1" x14ac:dyDescent="0.3">
      <c r="A1524" t="s">
        <v>152</v>
      </c>
      <c r="B1524" s="2">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9">
        <f t="shared" si="46"/>
        <v>0.96566258685760642</v>
      </c>
      <c r="F1524" t="str">
        <f t="shared" si="47"/>
        <v>Expected</v>
      </c>
    </row>
    <row r="1525" spans="1:6" ht="15" hidden="1" customHeight="1" x14ac:dyDescent="0.3">
      <c r="A1525" t="s">
        <v>152</v>
      </c>
      <c r="B1525" s="2">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9">
        <f t="shared" si="46"/>
        <v>0.92005327798416203</v>
      </c>
      <c r="F1525" t="str">
        <f t="shared" si="47"/>
        <v>Expected</v>
      </c>
    </row>
    <row r="1526" spans="1:6" ht="15" hidden="1" customHeight="1" x14ac:dyDescent="0.3">
      <c r="A1526" t="s">
        <v>152</v>
      </c>
      <c r="B1526" s="2">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9">
        <f t="shared" si="46"/>
        <v>0.89195352899585478</v>
      </c>
      <c r="F1526" t="str">
        <f t="shared" si="47"/>
        <v>Moderate</v>
      </c>
    </row>
    <row r="1527" spans="1:6" ht="15" hidden="1" customHeight="1" x14ac:dyDescent="0.3">
      <c r="A1527" t="s">
        <v>152</v>
      </c>
      <c r="B1527" s="2">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9">
        <f t="shared" si="46"/>
        <v>0.80630115429229632</v>
      </c>
      <c r="F1527" t="str">
        <f t="shared" si="47"/>
        <v>Moderate</v>
      </c>
    </row>
    <row r="1528" spans="1:6" ht="15" hidden="1" customHeight="1" x14ac:dyDescent="0.3">
      <c r="A1528" t="s">
        <v>152</v>
      </c>
      <c r="B1528" s="2">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9">
        <f t="shared" si="46"/>
        <v>0.95269026740283635</v>
      </c>
      <c r="F1528" t="str">
        <f t="shared" si="47"/>
        <v>Expected</v>
      </c>
    </row>
    <row r="1529" spans="1:6" ht="15" hidden="1" customHeight="1" x14ac:dyDescent="0.3">
      <c r="A1529" t="s">
        <v>152</v>
      </c>
      <c r="B1529" s="2">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9">
        <f t="shared" si="46"/>
        <v>0.87748539603062292</v>
      </c>
      <c r="F1529" t="str">
        <f t="shared" si="47"/>
        <v>Moderate</v>
      </c>
    </row>
    <row r="1530" spans="1:6" ht="15" hidden="1" customHeight="1" x14ac:dyDescent="0.3">
      <c r="A1530" t="s">
        <v>152</v>
      </c>
      <c r="B1530" s="2">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9">
        <f t="shared" si="46"/>
        <v>1.0762372805127147</v>
      </c>
      <c r="F1530" t="str">
        <f t="shared" si="47"/>
        <v>Expected</v>
      </c>
    </row>
    <row r="1531" spans="1:6" ht="15" hidden="1" customHeight="1" x14ac:dyDescent="0.3">
      <c r="A1531" t="s">
        <v>152</v>
      </c>
      <c r="B1531" s="2">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9">
        <f t="shared" si="46"/>
        <v>0.99432727272727273</v>
      </c>
      <c r="F1531" t="str">
        <f t="shared" si="47"/>
        <v>Expected</v>
      </c>
    </row>
    <row r="1532" spans="1:6" ht="15" hidden="1" customHeight="1" x14ac:dyDescent="0.3">
      <c r="A1532" t="s">
        <v>152</v>
      </c>
      <c r="B1532" s="2">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9">
        <f t="shared" si="46"/>
        <v>0.96121217833914596</v>
      </c>
      <c r="F1532" t="str">
        <f t="shared" si="47"/>
        <v>Expected</v>
      </c>
    </row>
    <row r="1533" spans="1:6" ht="15" hidden="1" customHeight="1" x14ac:dyDescent="0.3">
      <c r="A1533" t="s">
        <v>152</v>
      </c>
      <c r="B1533" s="2">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9">
        <f t="shared" si="46"/>
        <v>0.55338780569350332</v>
      </c>
      <c r="F1533" t="str">
        <f t="shared" si="47"/>
        <v>Poor</v>
      </c>
    </row>
    <row r="1534" spans="1:6" ht="15" hidden="1" customHeight="1" x14ac:dyDescent="0.3">
      <c r="A1534" t="s">
        <v>152</v>
      </c>
      <c r="B1534" s="2">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9">
        <f t="shared" si="46"/>
        <v>0.67706659891953291</v>
      </c>
      <c r="F1534" t="str">
        <f t="shared" si="47"/>
        <v>Poor</v>
      </c>
    </row>
    <row r="1535" spans="1:6" ht="15" hidden="1" customHeight="1" x14ac:dyDescent="0.3">
      <c r="A1535" t="s">
        <v>152</v>
      </c>
      <c r="B1535" s="2">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9">
        <f t="shared" si="46"/>
        <v>0.71049218257028679</v>
      </c>
      <c r="F1535" t="str">
        <f t="shared" si="47"/>
        <v>Moderate</v>
      </c>
    </row>
    <row r="1536" spans="1:6" ht="15" hidden="1" customHeight="1" x14ac:dyDescent="0.3">
      <c r="A1536" t="s">
        <v>152</v>
      </c>
      <c r="B1536" s="2">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9">
        <f t="shared" si="46"/>
        <v>0.20325561708581708</v>
      </c>
      <c r="F1536" t="str">
        <f t="shared" si="47"/>
        <v>Poor</v>
      </c>
    </row>
    <row r="1537" spans="1:6" ht="15" hidden="1" customHeight="1" x14ac:dyDescent="0.3">
      <c r="A1537" t="s">
        <v>152</v>
      </c>
      <c r="B1537" s="2">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9">
        <f t="shared" si="46"/>
        <v>0.63135402757763648</v>
      </c>
      <c r="F1537" t="str">
        <f t="shared" si="47"/>
        <v>Poor</v>
      </c>
    </row>
    <row r="1538" spans="1:6" ht="15" hidden="1" customHeight="1" x14ac:dyDescent="0.3">
      <c r="A1538" t="s">
        <v>152</v>
      </c>
      <c r="B1538" s="2">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9">
        <f t="shared" ref="E1538:E1601" si="48">IF(OR(C1538="",D1538="",D1538=0),"",C1538/D1538)</f>
        <v>0.84195768809527116</v>
      </c>
      <c r="F1538" t="str">
        <f t="shared" ref="F1538:F1601" si="49">IF(E1538="","",IF(E1538&gt;=0.9,"Expected",IF(E1538&gt;=0.7,"Moderate","Poor")))</f>
        <v>Moderate</v>
      </c>
    </row>
    <row r="1539" spans="1:6" ht="15" hidden="1" customHeight="1" x14ac:dyDescent="0.3">
      <c r="A1539" t="s">
        <v>152</v>
      </c>
      <c r="B1539" s="2">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9">
        <f t="shared" si="48"/>
        <v>0.81573098419033252</v>
      </c>
      <c r="F1539" t="str">
        <f t="shared" si="49"/>
        <v>Moderate</v>
      </c>
    </row>
    <row r="1540" spans="1:6" ht="15" hidden="1" customHeight="1" x14ac:dyDescent="0.3">
      <c r="A1540" t="s">
        <v>152</v>
      </c>
      <c r="B1540" s="2">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9">
        <f t="shared" si="48"/>
        <v>0.68000974342318932</v>
      </c>
      <c r="F1540" t="str">
        <f t="shared" si="49"/>
        <v>Poor</v>
      </c>
    </row>
    <row r="1541" spans="1:6" ht="15" hidden="1" customHeight="1" x14ac:dyDescent="0.3">
      <c r="A1541" t="s">
        <v>152</v>
      </c>
      <c r="B1541" s="2">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9">
        <f t="shared" si="48"/>
        <v>0.42434735677225061</v>
      </c>
      <c r="F1541" t="str">
        <f t="shared" si="49"/>
        <v>Poor</v>
      </c>
    </row>
    <row r="1542" spans="1:6" ht="15" hidden="1" customHeight="1" x14ac:dyDescent="0.3">
      <c r="A1542" t="s">
        <v>152</v>
      </c>
      <c r="B1542" s="2">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9">
        <f t="shared" si="48"/>
        <v>0.70755251766205052</v>
      </c>
      <c r="F1542" t="str">
        <f t="shared" si="49"/>
        <v>Moderate</v>
      </c>
    </row>
    <row r="1543" spans="1:6" ht="15" hidden="1" customHeight="1" x14ac:dyDescent="0.3">
      <c r="A1543" t="s">
        <v>152</v>
      </c>
      <c r="B1543" s="2">
        <v>46174</v>
      </c>
      <c r="C1543" cm="1">
        <f t="array" ref="C1543">IFERROR(IF(SUMPRODUCT((measured[Site Name]=A1543)*(measured[Date]=B1543)*ISNUMBER(measured[Measured Value (kWh)]))=0,"",SUMIFS(measured[Measured Value (kWh)],measured[Site Name],A1543,measured[Date],B1543)),"")</f>
        <v>3334</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9">
        <f t="shared" si="48"/>
        <v>0.43298701298701298</v>
      </c>
      <c r="F1543" t="str">
        <f t="shared" si="49"/>
        <v>Poor</v>
      </c>
    </row>
    <row r="1544" spans="1:6" ht="15" hidden="1" customHeight="1" x14ac:dyDescent="0.3">
      <c r="A1544" t="s">
        <v>152</v>
      </c>
      <c r="B1544" s="2">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9" t="str">
        <f t="shared" si="48"/>
        <v/>
      </c>
      <c r="F1544" t="str">
        <f t="shared" si="49"/>
        <v/>
      </c>
    </row>
    <row r="1545" spans="1:6" ht="15" hidden="1" customHeight="1" x14ac:dyDescent="0.3">
      <c r="A1545" t="s">
        <v>152</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9" t="str">
        <f t="shared" si="48"/>
        <v/>
      </c>
      <c r="F1545" t="str">
        <f t="shared" si="49"/>
        <v/>
      </c>
    </row>
    <row r="1546" spans="1:6" ht="15" hidden="1" customHeight="1" x14ac:dyDescent="0.3">
      <c r="A1546" t="s">
        <v>152</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9" t="str">
        <f t="shared" si="48"/>
        <v/>
      </c>
      <c r="F1546" t="str">
        <f t="shared" si="49"/>
        <v/>
      </c>
    </row>
    <row r="1547" spans="1:6" ht="15" hidden="1" customHeight="1" x14ac:dyDescent="0.3">
      <c r="A1547" t="s">
        <v>152</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9" t="str">
        <f t="shared" si="48"/>
        <v/>
      </c>
      <c r="F1547" t="str">
        <f t="shared" si="49"/>
        <v/>
      </c>
    </row>
    <row r="1548" spans="1:6" ht="15" hidden="1" customHeight="1" x14ac:dyDescent="0.3">
      <c r="A1548" t="s">
        <v>152</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9" t="str">
        <f t="shared" si="48"/>
        <v/>
      </c>
      <c r="F1548" t="str">
        <f t="shared" si="49"/>
        <v/>
      </c>
    </row>
    <row r="1549" spans="1:6" ht="15" hidden="1" customHeight="1" x14ac:dyDescent="0.3">
      <c r="A1549" t="s">
        <v>152</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9" t="str">
        <f t="shared" si="48"/>
        <v/>
      </c>
      <c r="F1549" t="str">
        <f t="shared" si="49"/>
        <v/>
      </c>
    </row>
    <row r="1550" spans="1:6" ht="15" hidden="1" customHeight="1" x14ac:dyDescent="0.3">
      <c r="A1550" t="s">
        <v>149</v>
      </c>
      <c r="B1550" s="2">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9">
        <f t="shared" si="48"/>
        <v>0.51821523042943074</v>
      </c>
      <c r="F1550" t="str">
        <f t="shared" si="49"/>
        <v>Poor</v>
      </c>
    </row>
    <row r="1551" spans="1:6" ht="15" hidden="1" customHeight="1" x14ac:dyDescent="0.3">
      <c r="A1551" t="s">
        <v>149</v>
      </c>
      <c r="B1551" s="2">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9">
        <f t="shared" si="48"/>
        <v>0.92493445702289223</v>
      </c>
      <c r="F1551" t="str">
        <f t="shared" si="49"/>
        <v>Expected</v>
      </c>
    </row>
    <row r="1552" spans="1:6" ht="15" hidden="1" customHeight="1" x14ac:dyDescent="0.3">
      <c r="A1552" t="s">
        <v>149</v>
      </c>
      <c r="B1552" s="2">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9">
        <f t="shared" si="48"/>
        <v>0.85125159956378393</v>
      </c>
      <c r="F1552" t="str">
        <f t="shared" si="49"/>
        <v>Moderate</v>
      </c>
    </row>
    <row r="1553" spans="1:6" ht="15" hidden="1" customHeight="1" x14ac:dyDescent="0.3">
      <c r="A1553" t="s">
        <v>149</v>
      </c>
      <c r="B1553" s="2">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9">
        <f t="shared" si="48"/>
        <v>0.90881117479945328</v>
      </c>
      <c r="F1553" t="str">
        <f t="shared" si="49"/>
        <v>Expected</v>
      </c>
    </row>
    <row r="1554" spans="1:6" ht="15" hidden="1" customHeight="1" x14ac:dyDescent="0.3">
      <c r="A1554" t="s">
        <v>149</v>
      </c>
      <c r="B1554" s="2">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9">
        <f t="shared" si="48"/>
        <v>1.0550373440353429</v>
      </c>
      <c r="F1554" t="str">
        <f t="shared" si="49"/>
        <v>Expected</v>
      </c>
    </row>
    <row r="1555" spans="1:6" ht="15" hidden="1" customHeight="1" x14ac:dyDescent="0.3">
      <c r="A1555" t="s">
        <v>149</v>
      </c>
      <c r="B1555" s="2">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9">
        <f t="shared" si="48"/>
        <v>0.94142374263777462</v>
      </c>
      <c r="F1555" t="str">
        <f t="shared" si="49"/>
        <v>Expected</v>
      </c>
    </row>
    <row r="1556" spans="1:6" ht="15" hidden="1" customHeight="1" x14ac:dyDescent="0.3">
      <c r="A1556" t="s">
        <v>149</v>
      </c>
      <c r="B1556" s="2">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9">
        <f t="shared" si="48"/>
        <v>1.0281103685549664</v>
      </c>
      <c r="F1556" t="str">
        <f t="shared" si="49"/>
        <v>Expected</v>
      </c>
    </row>
    <row r="1557" spans="1:6" ht="15" hidden="1" customHeight="1" x14ac:dyDescent="0.3">
      <c r="A1557" t="s">
        <v>149</v>
      </c>
      <c r="B1557" s="2">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9">
        <f t="shared" si="48"/>
        <v>0.8473572615613838</v>
      </c>
      <c r="F1557" t="str">
        <f t="shared" si="49"/>
        <v>Moderate</v>
      </c>
    </row>
    <row r="1558" spans="1:6" ht="15" hidden="1" customHeight="1" x14ac:dyDescent="0.3">
      <c r="A1558" t="s">
        <v>149</v>
      </c>
      <c r="B1558" s="2">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9">
        <f t="shared" si="48"/>
        <v>0.76374287922080264</v>
      </c>
      <c r="F1558" t="str">
        <f t="shared" si="49"/>
        <v>Moderate</v>
      </c>
    </row>
    <row r="1559" spans="1:6" ht="15" hidden="1" customHeight="1" x14ac:dyDescent="0.3">
      <c r="A1559" t="s">
        <v>149</v>
      </c>
      <c r="B1559" s="2">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9">
        <f t="shared" si="48"/>
        <v>0.71756789438493163</v>
      </c>
      <c r="F1559" t="str">
        <f t="shared" si="49"/>
        <v>Moderate</v>
      </c>
    </row>
    <row r="1560" spans="1:6" ht="15" hidden="1" customHeight="1" x14ac:dyDescent="0.3">
      <c r="A1560" t="s">
        <v>149</v>
      </c>
      <c r="B1560" s="2">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9">
        <f t="shared" si="48"/>
        <v>0.82719427488949704</v>
      </c>
      <c r="F1560" t="str">
        <f t="shared" si="49"/>
        <v>Moderate</v>
      </c>
    </row>
    <row r="1561" spans="1:6" ht="15" hidden="1" customHeight="1" x14ac:dyDescent="0.3">
      <c r="A1561" t="s">
        <v>149</v>
      </c>
      <c r="B1561" s="2">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9">
        <f t="shared" si="48"/>
        <v>0.37007152227729567</v>
      </c>
      <c r="F1561" t="str">
        <f t="shared" si="49"/>
        <v>Poor</v>
      </c>
    </row>
    <row r="1562" spans="1:6" ht="15" hidden="1" customHeight="1" x14ac:dyDescent="0.3">
      <c r="A1562" t="s">
        <v>149</v>
      </c>
      <c r="B1562" s="2">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9">
        <f t="shared" si="48"/>
        <v>0.59166397490404232</v>
      </c>
      <c r="F1562" t="str">
        <f t="shared" si="49"/>
        <v>Poor</v>
      </c>
    </row>
    <row r="1563" spans="1:6" ht="15" hidden="1" customHeight="1" x14ac:dyDescent="0.3">
      <c r="A1563" t="s">
        <v>149</v>
      </c>
      <c r="B1563" s="2">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9">
        <f t="shared" si="48"/>
        <v>0.66657961086054662</v>
      </c>
      <c r="F1563" t="str">
        <f t="shared" si="49"/>
        <v>Poor</v>
      </c>
    </row>
    <row r="1564" spans="1:6" ht="15" hidden="1" customHeight="1" x14ac:dyDescent="0.3">
      <c r="A1564" t="s">
        <v>149</v>
      </c>
      <c r="B1564" s="2">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9">
        <f t="shared" si="48"/>
        <v>0.66894860593682426</v>
      </c>
      <c r="F1564" t="str">
        <f t="shared" si="49"/>
        <v>Poor</v>
      </c>
    </row>
    <row r="1565" spans="1:6" ht="15" hidden="1" customHeight="1" x14ac:dyDescent="0.3">
      <c r="A1565" t="s">
        <v>149</v>
      </c>
      <c r="B1565" s="2">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9">
        <f t="shared" si="48"/>
        <v>0.67266338922164259</v>
      </c>
      <c r="F1565" t="str">
        <f t="shared" si="49"/>
        <v>Poor</v>
      </c>
    </row>
    <row r="1566" spans="1:6" ht="15" hidden="1" customHeight="1" x14ac:dyDescent="0.3">
      <c r="A1566" t="s">
        <v>149</v>
      </c>
      <c r="B1566" s="2">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9">
        <f t="shared" si="48"/>
        <v>0.95764030895855889</v>
      </c>
      <c r="F1566" t="str">
        <f t="shared" si="49"/>
        <v>Expected</v>
      </c>
    </row>
    <row r="1567" spans="1:6" ht="15" hidden="1" customHeight="1" x14ac:dyDescent="0.3">
      <c r="A1567" t="s">
        <v>149</v>
      </c>
      <c r="B1567" s="2">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9">
        <f t="shared" si="48"/>
        <v>0.98119975844842333</v>
      </c>
      <c r="F1567" t="str">
        <f t="shared" si="49"/>
        <v>Expected</v>
      </c>
    </row>
    <row r="1568" spans="1:6" ht="15" hidden="1" customHeight="1" x14ac:dyDescent="0.3">
      <c r="A1568" t="s">
        <v>149</v>
      </c>
      <c r="B1568" s="2">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9">
        <f t="shared" si="48"/>
        <v>0.86083730103034162</v>
      </c>
      <c r="F1568" t="str">
        <f t="shared" si="49"/>
        <v>Moderate</v>
      </c>
    </row>
    <row r="1569" spans="1:6" ht="15" hidden="1" customHeight="1" x14ac:dyDescent="0.3">
      <c r="A1569" t="s">
        <v>149</v>
      </c>
      <c r="B1569" s="2">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9">
        <f t="shared" si="48"/>
        <v>0.85130497348029011</v>
      </c>
      <c r="F1569" t="str">
        <f t="shared" si="49"/>
        <v>Moderate</v>
      </c>
    </row>
    <row r="1570" spans="1:6" ht="15" hidden="1" customHeight="1" x14ac:dyDescent="0.3">
      <c r="A1570" t="s">
        <v>149</v>
      </c>
      <c r="B1570" s="2">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9">
        <f t="shared" si="48"/>
        <v>0.85275636302645852</v>
      </c>
      <c r="F1570" t="str">
        <f t="shared" si="49"/>
        <v>Moderate</v>
      </c>
    </row>
    <row r="1571" spans="1:6" ht="15" hidden="1" customHeight="1" x14ac:dyDescent="0.3">
      <c r="A1571" t="s">
        <v>149</v>
      </c>
      <c r="B1571" s="2">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9">
        <f t="shared" si="48"/>
        <v>0.87371431010200162</v>
      </c>
      <c r="F1571" t="str">
        <f t="shared" si="49"/>
        <v>Moderate</v>
      </c>
    </row>
    <row r="1572" spans="1:6" ht="15" hidden="1" customHeight="1" x14ac:dyDescent="0.3">
      <c r="A1572" t="s">
        <v>149</v>
      </c>
      <c r="B1572" s="2">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9">
        <f t="shared" si="48"/>
        <v>0.66547393531186427</v>
      </c>
      <c r="F1572" t="str">
        <f t="shared" si="49"/>
        <v>Poor</v>
      </c>
    </row>
    <row r="1573" spans="1:6" ht="15" hidden="1" customHeight="1" x14ac:dyDescent="0.3">
      <c r="A1573" t="s">
        <v>149</v>
      </c>
      <c r="B1573" s="2">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9">
        <f t="shared" si="48"/>
        <v>0.40399383031161323</v>
      </c>
      <c r="F1573" t="str">
        <f t="shared" si="49"/>
        <v>Poor</v>
      </c>
    </row>
    <row r="1574" spans="1:6" ht="15" hidden="1" customHeight="1" x14ac:dyDescent="0.3">
      <c r="A1574" t="s">
        <v>149</v>
      </c>
      <c r="B1574" s="2">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9">
        <f t="shared" si="48"/>
        <v>0.65242505987353083</v>
      </c>
      <c r="F1574" t="str">
        <f t="shared" si="49"/>
        <v>Poor</v>
      </c>
    </row>
    <row r="1575" spans="1:6" ht="15" hidden="1" customHeight="1" x14ac:dyDescent="0.3">
      <c r="A1575" t="s">
        <v>149</v>
      </c>
      <c r="B1575" s="2">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9">
        <f t="shared" si="48"/>
        <v>0.98948968556112482</v>
      </c>
      <c r="F1575" t="str">
        <f t="shared" si="49"/>
        <v>Expected</v>
      </c>
    </row>
    <row r="1576" spans="1:6" ht="15" hidden="1" customHeight="1" x14ac:dyDescent="0.3">
      <c r="A1576" t="s">
        <v>149</v>
      </c>
      <c r="B1576" s="2">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9">
        <f t="shared" si="48"/>
        <v>0.79671199026708772</v>
      </c>
      <c r="F1576" t="str">
        <f t="shared" si="49"/>
        <v>Moderate</v>
      </c>
    </row>
    <row r="1577" spans="1:6" ht="15" hidden="1" customHeight="1" x14ac:dyDescent="0.3">
      <c r="A1577" t="s">
        <v>149</v>
      </c>
      <c r="B1577" s="2">
        <v>46113</v>
      </c>
      <c r="C1577" s="5"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9">
        <f t="shared" si="48"/>
        <v>0.62550252964370301</v>
      </c>
      <c r="F1577" t="str">
        <f t="shared" si="49"/>
        <v>Poor</v>
      </c>
    </row>
    <row r="1578" spans="1:6" ht="15" hidden="1" customHeight="1" x14ac:dyDescent="0.3">
      <c r="A1578" t="s">
        <v>149</v>
      </c>
      <c r="B1578" s="2">
        <v>46143</v>
      </c>
      <c r="C1578" s="5"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9">
        <f t="shared" si="48"/>
        <v>0.87017543859649127</v>
      </c>
      <c r="F1578" t="str">
        <f t="shared" si="49"/>
        <v>Moderate</v>
      </c>
    </row>
    <row r="1579" spans="1:6" ht="15" hidden="1" customHeight="1" x14ac:dyDescent="0.3">
      <c r="A1579" t="s">
        <v>149</v>
      </c>
      <c r="B1579" s="2">
        <v>46174</v>
      </c>
      <c r="C1579" cm="1">
        <f t="array" ref="C1579">IFERROR(IF(SUMPRODUCT((measured[Site Name]=A1579)*(measured[Date]=B1579)*ISNUMBER(measured[Measured Value (kWh)]))=0,"",SUMIFS(measured[Measured Value (kWh)],measured[Site Name],A1579,measured[Date],B1579)),"")</f>
        <v>5956</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9">
        <f t="shared" si="48"/>
        <v>0.93420856566987431</v>
      </c>
      <c r="F1579" t="str">
        <f t="shared" si="49"/>
        <v>Expected</v>
      </c>
    </row>
    <row r="1580" spans="1:6" ht="15" hidden="1" customHeight="1" x14ac:dyDescent="0.3">
      <c r="A1580" t="s">
        <v>149</v>
      </c>
      <c r="B1580" s="2">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9" t="str">
        <f t="shared" si="48"/>
        <v/>
      </c>
      <c r="F1580" t="str">
        <f t="shared" si="49"/>
        <v/>
      </c>
    </row>
    <row r="1581" spans="1:6" ht="15" hidden="1" customHeight="1" x14ac:dyDescent="0.3">
      <c r="A1581" t="s">
        <v>149</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9" t="str">
        <f t="shared" si="48"/>
        <v/>
      </c>
      <c r="F1581" t="str">
        <f t="shared" si="49"/>
        <v/>
      </c>
    </row>
    <row r="1582" spans="1:6" ht="15" hidden="1" customHeight="1" x14ac:dyDescent="0.3">
      <c r="A1582" t="s">
        <v>149</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9" t="str">
        <f t="shared" si="48"/>
        <v/>
      </c>
      <c r="F1582" t="str">
        <f t="shared" si="49"/>
        <v/>
      </c>
    </row>
    <row r="1583" spans="1:6" ht="15" hidden="1" customHeight="1" x14ac:dyDescent="0.3">
      <c r="A1583" t="s">
        <v>149</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9" t="str">
        <f t="shared" si="48"/>
        <v/>
      </c>
      <c r="F1583" t="str">
        <f t="shared" si="49"/>
        <v/>
      </c>
    </row>
    <row r="1584" spans="1:6" ht="15" hidden="1" customHeight="1" x14ac:dyDescent="0.3">
      <c r="A1584" t="s">
        <v>149</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9" t="str">
        <f t="shared" si="48"/>
        <v/>
      </c>
      <c r="F1584" t="str">
        <f t="shared" si="49"/>
        <v/>
      </c>
    </row>
    <row r="1585" spans="1:6" ht="15" hidden="1" customHeight="1" x14ac:dyDescent="0.3">
      <c r="A1585" t="s">
        <v>149</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9" t="str">
        <f t="shared" si="48"/>
        <v/>
      </c>
      <c r="F1585" t="str">
        <f t="shared" si="49"/>
        <v/>
      </c>
    </row>
    <row r="1586" spans="1:6" ht="15" hidden="1" customHeight="1" x14ac:dyDescent="0.3">
      <c r="A1586" t="s">
        <v>155</v>
      </c>
      <c r="B1586" s="2">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9">
        <f t="shared" si="48"/>
        <v>0.96030272010853468</v>
      </c>
      <c r="F1586" t="str">
        <f t="shared" si="49"/>
        <v>Expected</v>
      </c>
    </row>
    <row r="1587" spans="1:6" ht="15" hidden="1" customHeight="1" x14ac:dyDescent="0.3">
      <c r="A1587" t="s">
        <v>155</v>
      </c>
      <c r="B1587" s="2">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9">
        <f t="shared" si="48"/>
        <v>0.94976200731095872</v>
      </c>
      <c r="F1587" t="str">
        <f t="shared" si="49"/>
        <v>Expected</v>
      </c>
    </row>
    <row r="1588" spans="1:6" ht="15" hidden="1" customHeight="1" x14ac:dyDescent="0.3">
      <c r="A1588" t="s">
        <v>155</v>
      </c>
      <c r="B1588" s="2">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9">
        <f t="shared" si="48"/>
        <v>1.0937582163327548</v>
      </c>
      <c r="F1588" t="str">
        <f t="shared" si="49"/>
        <v>Expected</v>
      </c>
    </row>
    <row r="1589" spans="1:6" ht="15" hidden="1" customHeight="1" x14ac:dyDescent="0.3">
      <c r="A1589" t="s">
        <v>155</v>
      </c>
      <c r="B1589" s="2">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9">
        <f t="shared" si="48"/>
        <v>1.0787253780932451</v>
      </c>
      <c r="F1589" t="str">
        <f t="shared" si="49"/>
        <v>Expected</v>
      </c>
    </row>
    <row r="1590" spans="1:6" ht="15" hidden="1" customHeight="1" x14ac:dyDescent="0.3">
      <c r="A1590" t="s">
        <v>155</v>
      </c>
      <c r="B1590" s="2">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9">
        <f t="shared" si="48"/>
        <v>1.0443230115361264</v>
      </c>
      <c r="F1590" t="str">
        <f t="shared" si="49"/>
        <v>Expected</v>
      </c>
    </row>
    <row r="1591" spans="1:6" ht="15" hidden="1" customHeight="1" x14ac:dyDescent="0.3">
      <c r="A1591" t="s">
        <v>155</v>
      </c>
      <c r="B1591" s="2">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9">
        <f t="shared" si="48"/>
        <v>1.0190235608973843</v>
      </c>
      <c r="F1591" t="str">
        <f t="shared" si="49"/>
        <v>Expected</v>
      </c>
    </row>
    <row r="1592" spans="1:6" ht="15" hidden="1" customHeight="1" x14ac:dyDescent="0.3">
      <c r="A1592" t="s">
        <v>155</v>
      </c>
      <c r="B1592" s="2">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9">
        <f t="shared" si="48"/>
        <v>0.99865303627059121</v>
      </c>
      <c r="F1592" t="str">
        <f t="shared" si="49"/>
        <v>Expected</v>
      </c>
    </row>
    <row r="1593" spans="1:6" ht="15" hidden="1" customHeight="1" x14ac:dyDescent="0.3">
      <c r="A1593" t="s">
        <v>155</v>
      </c>
      <c r="B1593" s="2">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9">
        <f t="shared" si="48"/>
        <v>0.86489665566085672</v>
      </c>
      <c r="F1593" t="str">
        <f t="shared" si="49"/>
        <v>Moderate</v>
      </c>
    </row>
    <row r="1594" spans="1:6" ht="15" hidden="1" customHeight="1" x14ac:dyDescent="0.3">
      <c r="A1594" t="s">
        <v>155</v>
      </c>
      <c r="B1594" s="2">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9">
        <f t="shared" si="48"/>
        <v>0.77131540546174693</v>
      </c>
      <c r="F1594" t="str">
        <f t="shared" si="49"/>
        <v>Moderate</v>
      </c>
    </row>
    <row r="1595" spans="1:6" ht="15" hidden="1" customHeight="1" x14ac:dyDescent="0.3">
      <c r="A1595" t="s">
        <v>155</v>
      </c>
      <c r="B1595" s="2">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9">
        <f t="shared" si="48"/>
        <v>1.0808880682109616</v>
      </c>
      <c r="F1595" t="str">
        <f t="shared" si="49"/>
        <v>Expected</v>
      </c>
    </row>
    <row r="1596" spans="1:6" ht="15" hidden="1" customHeight="1" x14ac:dyDescent="0.3">
      <c r="A1596" t="s">
        <v>155</v>
      </c>
      <c r="B1596" s="2">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9">
        <f t="shared" si="48"/>
        <v>1.1310170104958379</v>
      </c>
      <c r="F1596" t="str">
        <f t="shared" si="49"/>
        <v>Expected</v>
      </c>
    </row>
    <row r="1597" spans="1:6" ht="15" hidden="1" customHeight="1" x14ac:dyDescent="0.3">
      <c r="A1597" t="s">
        <v>155</v>
      </c>
      <c r="B1597" s="2">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9">
        <f t="shared" si="48"/>
        <v>0.53950995496213394</v>
      </c>
      <c r="F1597" t="str">
        <f t="shared" si="49"/>
        <v>Poor</v>
      </c>
    </row>
    <row r="1598" spans="1:6" ht="15" hidden="1" customHeight="1" x14ac:dyDescent="0.3">
      <c r="A1598" t="s">
        <v>155</v>
      </c>
      <c r="B1598" s="2">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9">
        <f t="shared" si="48"/>
        <v>1.0420306111816013</v>
      </c>
      <c r="F1598" t="str">
        <f t="shared" si="49"/>
        <v>Expected</v>
      </c>
    </row>
    <row r="1599" spans="1:6" ht="15" hidden="1" customHeight="1" x14ac:dyDescent="0.3">
      <c r="A1599" t="s">
        <v>155</v>
      </c>
      <c r="B1599" s="2">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9">
        <f t="shared" si="48"/>
        <v>0.8768732951219782</v>
      </c>
      <c r="F1599" t="str">
        <f t="shared" si="49"/>
        <v>Moderate</v>
      </c>
    </row>
    <row r="1600" spans="1:6" ht="15" hidden="1" customHeight="1" x14ac:dyDescent="0.3">
      <c r="A1600" t="s">
        <v>155</v>
      </c>
      <c r="B1600" s="2">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9">
        <f t="shared" si="48"/>
        <v>0.95493505810590529</v>
      </c>
      <c r="F1600" t="str">
        <f t="shared" si="49"/>
        <v>Expected</v>
      </c>
    </row>
    <row r="1601" spans="1:6" ht="15" hidden="1" customHeight="1" x14ac:dyDescent="0.3">
      <c r="A1601" t="s">
        <v>155</v>
      </c>
      <c r="B1601" s="2">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9">
        <f t="shared" si="48"/>
        <v>0.84524126292372925</v>
      </c>
      <c r="F1601" t="str">
        <f t="shared" si="49"/>
        <v>Moderate</v>
      </c>
    </row>
    <row r="1602" spans="1:6" ht="15" hidden="1" customHeight="1" x14ac:dyDescent="0.3">
      <c r="A1602" t="s">
        <v>155</v>
      </c>
      <c r="B1602" s="2">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9">
        <f t="shared" ref="E1602:E1665" si="50">IF(OR(C1602="",D1602="",D1602=0),"",C1602/D1602)</f>
        <v>1.046508803885853</v>
      </c>
      <c r="F1602" t="str">
        <f t="shared" ref="F1602:F1665" si="51">IF(E1602="","",IF(E1602&gt;=0.9,"Expected",IF(E1602&gt;=0.7,"Moderate","Poor")))</f>
        <v>Expected</v>
      </c>
    </row>
    <row r="1603" spans="1:6" ht="15" hidden="1" customHeight="1" x14ac:dyDescent="0.3">
      <c r="A1603" t="s">
        <v>155</v>
      </c>
      <c r="B1603" s="2">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9">
        <f t="shared" si="50"/>
        <v>0.95573683448375735</v>
      </c>
      <c r="F1603" t="str">
        <f t="shared" si="51"/>
        <v>Expected</v>
      </c>
    </row>
    <row r="1604" spans="1:6" ht="15" hidden="1" customHeight="1" x14ac:dyDescent="0.3">
      <c r="A1604" t="s">
        <v>155</v>
      </c>
      <c r="B1604" s="2">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9">
        <f t="shared" si="50"/>
        <v>0.83886855046729658</v>
      </c>
      <c r="F1604" t="str">
        <f t="shared" si="51"/>
        <v>Moderate</v>
      </c>
    </row>
    <row r="1605" spans="1:6" ht="15" hidden="1" customHeight="1" x14ac:dyDescent="0.3">
      <c r="A1605" t="s">
        <v>155</v>
      </c>
      <c r="B1605" s="2">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9">
        <f t="shared" si="50"/>
        <v>0.95873794280005964</v>
      </c>
      <c r="F1605" t="str">
        <f t="shared" si="51"/>
        <v>Expected</v>
      </c>
    </row>
    <row r="1606" spans="1:6" ht="15" hidden="1" customHeight="1" x14ac:dyDescent="0.3">
      <c r="A1606" t="s">
        <v>155</v>
      </c>
      <c r="B1606" s="2">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9">
        <f t="shared" si="50"/>
        <v>0.89639357932040864</v>
      </c>
      <c r="F1606" t="str">
        <f t="shared" si="51"/>
        <v>Moderate</v>
      </c>
    </row>
    <row r="1607" spans="1:6" ht="15" hidden="1" customHeight="1" x14ac:dyDescent="0.3">
      <c r="A1607" t="s">
        <v>155</v>
      </c>
      <c r="B1607" s="2">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9">
        <f t="shared" si="50"/>
        <v>0.97771149225287934</v>
      </c>
      <c r="F1607" t="str">
        <f t="shared" si="51"/>
        <v>Expected</v>
      </c>
    </row>
    <row r="1608" spans="1:6" ht="15" hidden="1" customHeight="1" x14ac:dyDescent="0.3">
      <c r="A1608" t="s">
        <v>155</v>
      </c>
      <c r="B1608" s="2">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9">
        <f t="shared" si="50"/>
        <v>0.85813345178166023</v>
      </c>
      <c r="F1608" t="str">
        <f t="shared" si="51"/>
        <v>Moderate</v>
      </c>
    </row>
    <row r="1609" spans="1:6" ht="15" hidden="1" customHeight="1" x14ac:dyDescent="0.3">
      <c r="A1609" t="s">
        <v>155</v>
      </c>
      <c r="B1609" s="2">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9">
        <f t="shared" si="50"/>
        <v>0.98575670107961011</v>
      </c>
      <c r="F1609" t="str">
        <f t="shared" si="51"/>
        <v>Expected</v>
      </c>
    </row>
    <row r="1610" spans="1:6" ht="15" hidden="1" customHeight="1" x14ac:dyDescent="0.3">
      <c r="A1610" t="s">
        <v>155</v>
      </c>
      <c r="B1610" s="2">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9">
        <f t="shared" si="50"/>
        <v>0.93435411469283591</v>
      </c>
      <c r="F1610" t="str">
        <f t="shared" si="51"/>
        <v>Expected</v>
      </c>
    </row>
    <row r="1611" spans="1:6" ht="15" hidden="1" customHeight="1" x14ac:dyDescent="0.3">
      <c r="A1611" t="s">
        <v>155</v>
      </c>
      <c r="B1611" s="2">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9">
        <f t="shared" si="50"/>
        <v>1.013102298203183</v>
      </c>
      <c r="F1611" t="str">
        <f t="shared" si="51"/>
        <v>Expected</v>
      </c>
    </row>
    <row r="1612" spans="1:6" ht="15" hidden="1" customHeight="1" x14ac:dyDescent="0.3">
      <c r="A1612" t="s">
        <v>155</v>
      </c>
      <c r="B1612" s="2">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9">
        <f t="shared" si="50"/>
        <v>0.86007256665089127</v>
      </c>
      <c r="F1612" t="str">
        <f t="shared" si="51"/>
        <v>Moderate</v>
      </c>
    </row>
    <row r="1613" spans="1:6" ht="15" hidden="1" customHeight="1" x14ac:dyDescent="0.3">
      <c r="A1613" t="s">
        <v>155</v>
      </c>
      <c r="B1613" s="2">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9">
        <f t="shared" si="50"/>
        <v>0.20236888093029276</v>
      </c>
      <c r="F1613" t="str">
        <f t="shared" si="51"/>
        <v>Poor</v>
      </c>
    </row>
    <row r="1614" spans="1:6" ht="15" hidden="1" customHeight="1" x14ac:dyDescent="0.3">
      <c r="A1614" t="s">
        <v>155</v>
      </c>
      <c r="B1614" s="2">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9">
        <f t="shared" si="50"/>
        <v>0</v>
      </c>
      <c r="F1614" t="str">
        <f t="shared" si="51"/>
        <v>Poor</v>
      </c>
    </row>
    <row r="1615" spans="1:6" ht="15" hidden="1" customHeight="1" x14ac:dyDescent="0.3">
      <c r="A1615" t="s">
        <v>155</v>
      </c>
      <c r="B1615" s="2">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9" t="str">
        <f t="shared" si="50"/>
        <v/>
      </c>
      <c r="F1615" t="str">
        <f t="shared" si="51"/>
        <v/>
      </c>
    </row>
    <row r="1616" spans="1:6" ht="15" hidden="1" customHeight="1" x14ac:dyDescent="0.3">
      <c r="A1616" t="s">
        <v>155</v>
      </c>
      <c r="B1616" s="2">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9" t="str">
        <f t="shared" si="50"/>
        <v/>
      </c>
      <c r="F1616" t="str">
        <f t="shared" si="51"/>
        <v/>
      </c>
    </row>
    <row r="1617" spans="1:6" ht="15" hidden="1" customHeight="1" x14ac:dyDescent="0.3">
      <c r="A1617" t="s">
        <v>155</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9" t="str">
        <f t="shared" si="50"/>
        <v/>
      </c>
      <c r="F1617" t="str">
        <f t="shared" si="51"/>
        <v/>
      </c>
    </row>
    <row r="1618" spans="1:6" ht="15" hidden="1" customHeight="1" x14ac:dyDescent="0.3">
      <c r="A1618" t="s">
        <v>155</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9" t="str">
        <f t="shared" si="50"/>
        <v/>
      </c>
      <c r="F1618" t="str">
        <f t="shared" si="51"/>
        <v/>
      </c>
    </row>
    <row r="1619" spans="1:6" ht="15" hidden="1" customHeight="1" x14ac:dyDescent="0.3">
      <c r="A1619" t="s">
        <v>155</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9" t="str">
        <f t="shared" si="50"/>
        <v/>
      </c>
      <c r="F1619" t="str">
        <f t="shared" si="51"/>
        <v/>
      </c>
    </row>
    <row r="1620" spans="1:6" ht="15" hidden="1" customHeight="1" x14ac:dyDescent="0.3">
      <c r="A1620" t="s">
        <v>155</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9" t="str">
        <f t="shared" si="50"/>
        <v/>
      </c>
      <c r="F1620" t="str">
        <f t="shared" si="51"/>
        <v/>
      </c>
    </row>
    <row r="1621" spans="1:6" ht="15" hidden="1" customHeight="1" x14ac:dyDescent="0.3">
      <c r="A1621" t="s">
        <v>155</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9" t="str">
        <f t="shared" si="50"/>
        <v/>
      </c>
      <c r="F1621" t="str">
        <f t="shared" si="51"/>
        <v/>
      </c>
    </row>
    <row r="1622" spans="1:6" ht="15" hidden="1" customHeight="1" x14ac:dyDescent="0.3">
      <c r="A1622" t="s">
        <v>157</v>
      </c>
      <c r="B1622" s="2">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9">
        <f t="shared" si="50"/>
        <v>1.0434614661319752</v>
      </c>
      <c r="F1622" t="str">
        <f t="shared" si="51"/>
        <v>Expected</v>
      </c>
    </row>
    <row r="1623" spans="1:6" ht="15" hidden="1" customHeight="1" x14ac:dyDescent="0.3">
      <c r="A1623" t="s">
        <v>157</v>
      </c>
      <c r="B1623" s="2">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9">
        <f t="shared" si="50"/>
        <v>0.8482412439613527</v>
      </c>
      <c r="F1623" t="str">
        <f t="shared" si="51"/>
        <v>Moderate</v>
      </c>
    </row>
    <row r="1624" spans="1:6" ht="15" hidden="1" customHeight="1" x14ac:dyDescent="0.3">
      <c r="A1624" t="s">
        <v>157</v>
      </c>
      <c r="B1624" s="2">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9">
        <f t="shared" si="50"/>
        <v>0.8839220885816208</v>
      </c>
      <c r="F1624" t="str">
        <f t="shared" si="51"/>
        <v>Moderate</v>
      </c>
    </row>
    <row r="1625" spans="1:6" ht="15" hidden="1" customHeight="1" x14ac:dyDescent="0.3">
      <c r="A1625" t="s">
        <v>157</v>
      </c>
      <c r="B1625" s="2">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9">
        <f t="shared" si="50"/>
        <v>0.88184982009083945</v>
      </c>
      <c r="F1625" t="str">
        <f t="shared" si="51"/>
        <v>Moderate</v>
      </c>
    </row>
    <row r="1626" spans="1:6" ht="15" hidden="1" customHeight="1" x14ac:dyDescent="0.3">
      <c r="A1626" t="s">
        <v>157</v>
      </c>
      <c r="B1626" s="2">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9">
        <f t="shared" si="50"/>
        <v>0.93397968339606618</v>
      </c>
      <c r="F1626" t="str">
        <f t="shared" si="51"/>
        <v>Expected</v>
      </c>
    </row>
    <row r="1627" spans="1:6" ht="15" hidden="1" customHeight="1" x14ac:dyDescent="0.3">
      <c r="A1627" t="s">
        <v>157</v>
      </c>
      <c r="B1627" s="2">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9">
        <f t="shared" si="50"/>
        <v>0.81440854330937162</v>
      </c>
      <c r="F1627" t="str">
        <f t="shared" si="51"/>
        <v>Moderate</v>
      </c>
    </row>
    <row r="1628" spans="1:6" ht="15" hidden="1" customHeight="1" x14ac:dyDescent="0.3">
      <c r="A1628" t="s">
        <v>157</v>
      </c>
      <c r="B1628" s="2">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9">
        <f t="shared" si="50"/>
        <v>0.87099012664147413</v>
      </c>
      <c r="F1628" t="str">
        <f t="shared" si="51"/>
        <v>Moderate</v>
      </c>
    </row>
    <row r="1629" spans="1:6" ht="15" hidden="1" customHeight="1" x14ac:dyDescent="0.3">
      <c r="A1629" t="s">
        <v>157</v>
      </c>
      <c r="B1629" s="2">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9">
        <f t="shared" si="50"/>
        <v>0.91786843314338229</v>
      </c>
      <c r="F1629" t="str">
        <f t="shared" si="51"/>
        <v>Expected</v>
      </c>
    </row>
    <row r="1630" spans="1:6" ht="15" hidden="1" customHeight="1" x14ac:dyDescent="0.3">
      <c r="A1630" t="s">
        <v>157</v>
      </c>
      <c r="B1630" s="2">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9">
        <f t="shared" si="50"/>
        <v>0.81503733927174715</v>
      </c>
      <c r="F1630" t="str">
        <f t="shared" si="51"/>
        <v>Moderate</v>
      </c>
    </row>
    <row r="1631" spans="1:6" ht="15" hidden="1" customHeight="1" x14ac:dyDescent="0.3">
      <c r="A1631" t="s">
        <v>157</v>
      </c>
      <c r="B1631" s="2">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9">
        <f t="shared" si="50"/>
        <v>1.0336258812741581</v>
      </c>
      <c r="F1631" t="str">
        <f t="shared" si="51"/>
        <v>Expected</v>
      </c>
    </row>
    <row r="1632" spans="1:6" ht="15" hidden="1" customHeight="1" x14ac:dyDescent="0.3">
      <c r="A1632" t="s">
        <v>157</v>
      </c>
      <c r="B1632" s="2">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9">
        <f t="shared" si="50"/>
        <v>0.98236168249679101</v>
      </c>
      <c r="F1632" t="str">
        <f t="shared" si="51"/>
        <v>Expected</v>
      </c>
    </row>
    <row r="1633" spans="1:6" ht="15" hidden="1" customHeight="1" x14ac:dyDescent="0.3">
      <c r="A1633" t="s">
        <v>157</v>
      </c>
      <c r="B1633" s="2">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9">
        <f t="shared" si="50"/>
        <v>0.98453292471418485</v>
      </c>
      <c r="F1633" t="str">
        <f t="shared" si="51"/>
        <v>Expected</v>
      </c>
    </row>
    <row r="1634" spans="1:6" ht="15" hidden="1" customHeight="1" x14ac:dyDescent="0.3">
      <c r="A1634" t="s">
        <v>157</v>
      </c>
      <c r="B1634" s="2">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9">
        <f t="shared" si="50"/>
        <v>0.89945395741104994</v>
      </c>
      <c r="F1634" t="str">
        <f t="shared" si="51"/>
        <v>Moderate</v>
      </c>
    </row>
    <row r="1635" spans="1:6" ht="15" hidden="1" customHeight="1" x14ac:dyDescent="0.3">
      <c r="A1635" t="s">
        <v>157</v>
      </c>
      <c r="B1635" s="2">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9">
        <f t="shared" si="50"/>
        <v>0.70972977053140096</v>
      </c>
      <c r="F1635" t="str">
        <f t="shared" si="51"/>
        <v>Moderate</v>
      </c>
    </row>
    <row r="1636" spans="1:6" ht="15" hidden="1" customHeight="1" x14ac:dyDescent="0.3">
      <c r="A1636" t="s">
        <v>157</v>
      </c>
      <c r="B1636" s="2">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9">
        <f t="shared" si="50"/>
        <v>0.71450368827014343</v>
      </c>
      <c r="F1636" t="str">
        <f t="shared" si="51"/>
        <v>Moderate</v>
      </c>
    </row>
    <row r="1637" spans="1:6" ht="15" hidden="1" customHeight="1" x14ac:dyDescent="0.3">
      <c r="A1637" t="s">
        <v>157</v>
      </c>
      <c r="B1637" s="2">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9">
        <f t="shared" si="50"/>
        <v>0.76721917458070354</v>
      </c>
      <c r="F1637" t="str">
        <f t="shared" si="51"/>
        <v>Moderate</v>
      </c>
    </row>
    <row r="1638" spans="1:6" ht="15" hidden="1" customHeight="1" x14ac:dyDescent="0.3">
      <c r="A1638" t="s">
        <v>157</v>
      </c>
      <c r="B1638" s="2">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9">
        <f t="shared" si="50"/>
        <v>0.96971723145442223</v>
      </c>
      <c r="F1638" t="str">
        <f t="shared" si="51"/>
        <v>Expected</v>
      </c>
    </row>
    <row r="1639" spans="1:6" ht="15" hidden="1" customHeight="1" x14ac:dyDescent="0.3">
      <c r="A1639" t="s">
        <v>157</v>
      </c>
      <c r="B1639" s="2">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9">
        <f t="shared" si="50"/>
        <v>0.95045975010156791</v>
      </c>
      <c r="F1639" t="str">
        <f t="shared" si="51"/>
        <v>Expected</v>
      </c>
    </row>
    <row r="1640" spans="1:6" ht="15" hidden="1" customHeight="1" x14ac:dyDescent="0.3">
      <c r="A1640" t="s">
        <v>157</v>
      </c>
      <c r="B1640" s="2">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9">
        <f t="shared" si="50"/>
        <v>0.89569237963780091</v>
      </c>
      <c r="F1640" t="str">
        <f t="shared" si="51"/>
        <v>Moderate</v>
      </c>
    </row>
    <row r="1641" spans="1:6" ht="15" hidden="1" customHeight="1" x14ac:dyDescent="0.3">
      <c r="A1641" t="s">
        <v>157</v>
      </c>
      <c r="B1641" s="2">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9">
        <f t="shared" si="50"/>
        <v>0.84689392225033777</v>
      </c>
      <c r="F1641" t="str">
        <f t="shared" si="51"/>
        <v>Moderate</v>
      </c>
    </row>
    <row r="1642" spans="1:6" ht="15" hidden="1" customHeight="1" x14ac:dyDescent="0.3">
      <c r="A1642" t="s">
        <v>157</v>
      </c>
      <c r="B1642" s="2">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9">
        <f t="shared" si="50"/>
        <v>0.81752828468516936</v>
      </c>
      <c r="F1642" t="str">
        <f t="shared" si="51"/>
        <v>Moderate</v>
      </c>
    </row>
    <row r="1643" spans="1:6" ht="15" hidden="1" customHeight="1" x14ac:dyDescent="0.3">
      <c r="A1643" t="s">
        <v>157</v>
      </c>
      <c r="B1643" s="2">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9">
        <f t="shared" si="50"/>
        <v>0.9256132003896288</v>
      </c>
      <c r="F1643" t="str">
        <f t="shared" si="51"/>
        <v>Expected</v>
      </c>
    </row>
    <row r="1644" spans="1:6" ht="15" hidden="1" customHeight="1" x14ac:dyDescent="0.3">
      <c r="A1644" t="s">
        <v>157</v>
      </c>
      <c r="B1644" s="2">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9">
        <f t="shared" si="50"/>
        <v>0.78281946573963035</v>
      </c>
      <c r="F1644" t="str">
        <f t="shared" si="51"/>
        <v>Moderate</v>
      </c>
    </row>
    <row r="1645" spans="1:6" ht="15" hidden="1" customHeight="1" x14ac:dyDescent="0.3">
      <c r="A1645" t="s">
        <v>157</v>
      </c>
      <c r="B1645" s="2">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9">
        <f t="shared" si="50"/>
        <v>0.85053558526449524</v>
      </c>
      <c r="F1645" t="str">
        <f t="shared" si="51"/>
        <v>Moderate</v>
      </c>
    </row>
    <row r="1646" spans="1:6" ht="15" hidden="1" customHeight="1" x14ac:dyDescent="0.3">
      <c r="A1646" t="s">
        <v>157</v>
      </c>
      <c r="B1646" s="2">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9">
        <f t="shared" si="50"/>
        <v>0.93960663925441379</v>
      </c>
      <c r="F1646" t="str">
        <f t="shared" si="51"/>
        <v>Expected</v>
      </c>
    </row>
    <row r="1647" spans="1:6" ht="15" hidden="1" customHeight="1" x14ac:dyDescent="0.3">
      <c r="A1647" t="s">
        <v>157</v>
      </c>
      <c r="B1647" s="2">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9">
        <f t="shared" si="50"/>
        <v>0.98151230374396126</v>
      </c>
      <c r="F1647" t="str">
        <f t="shared" si="51"/>
        <v>Expected</v>
      </c>
    </row>
    <row r="1648" spans="1:6" ht="15" hidden="1" customHeight="1" x14ac:dyDescent="0.3">
      <c r="A1648" t="s">
        <v>157</v>
      </c>
      <c r="B1648" s="2">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9">
        <f t="shared" si="50"/>
        <v>0.80307127849508764</v>
      </c>
      <c r="F1648" t="str">
        <f t="shared" si="51"/>
        <v>Moderate</v>
      </c>
    </row>
    <row r="1649" spans="1:6" ht="15" hidden="1" customHeight="1" x14ac:dyDescent="0.3">
      <c r="A1649" t="s">
        <v>157</v>
      </c>
      <c r="B1649" s="2">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9">
        <f t="shared" si="50"/>
        <v>0.81285711476828093</v>
      </c>
      <c r="F1649" t="str">
        <f t="shared" si="51"/>
        <v>Moderate</v>
      </c>
    </row>
    <row r="1650" spans="1:6" ht="15" hidden="1" customHeight="1" x14ac:dyDescent="0.3">
      <c r="A1650" t="s">
        <v>157</v>
      </c>
      <c r="B1650" s="2">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9">
        <f t="shared" si="50"/>
        <v>0.89644949381413797</v>
      </c>
      <c r="F1650" t="str">
        <f t="shared" si="51"/>
        <v>Moderate</v>
      </c>
    </row>
    <row r="1651" spans="1:6" ht="15" hidden="1" customHeight="1" x14ac:dyDescent="0.3">
      <c r="A1651" t="s">
        <v>157</v>
      </c>
      <c r="B1651" s="2">
        <v>46174</v>
      </c>
      <c r="C1651" cm="1">
        <f t="array" ref="C1651">IFERROR(IF(SUMPRODUCT((measured[Site Name]=A1651)*(measured[Date]=B1651)*ISNUMBER(measured[Measured Value (kWh)]))=0,"",SUMIFS(measured[Measured Value (kWh)],measured[Site Name],A1651,measured[Date],B1651)),"")</f>
        <v>3785</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9">
        <f t="shared" si="50"/>
        <v>0.78456002454211549</v>
      </c>
      <c r="F1651" t="str">
        <f t="shared" si="51"/>
        <v>Moderate</v>
      </c>
    </row>
    <row r="1652" spans="1:6" ht="15" hidden="1" customHeight="1" x14ac:dyDescent="0.3">
      <c r="A1652" t="s">
        <v>157</v>
      </c>
      <c r="B1652" s="2">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9" t="str">
        <f t="shared" si="50"/>
        <v/>
      </c>
      <c r="F1652" t="str">
        <f t="shared" si="51"/>
        <v/>
      </c>
    </row>
    <row r="1653" spans="1:6" ht="15" hidden="1" customHeight="1" x14ac:dyDescent="0.3">
      <c r="A1653" t="s">
        <v>157</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9" t="str">
        <f t="shared" si="50"/>
        <v/>
      </c>
      <c r="F1653" t="str">
        <f t="shared" si="51"/>
        <v/>
      </c>
    </row>
    <row r="1654" spans="1:6" ht="15" hidden="1" customHeight="1" x14ac:dyDescent="0.3">
      <c r="A1654" t="s">
        <v>157</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9" t="str">
        <f t="shared" si="50"/>
        <v/>
      </c>
      <c r="F1654" t="str">
        <f t="shared" si="51"/>
        <v/>
      </c>
    </row>
    <row r="1655" spans="1:6" ht="15" hidden="1" customHeight="1" x14ac:dyDescent="0.3">
      <c r="A1655" t="s">
        <v>157</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9" t="str">
        <f t="shared" si="50"/>
        <v/>
      </c>
      <c r="F1655" t="str">
        <f t="shared" si="51"/>
        <v/>
      </c>
    </row>
    <row r="1656" spans="1:6" ht="15" hidden="1" customHeight="1" x14ac:dyDescent="0.3">
      <c r="A1656" t="s">
        <v>157</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9" t="str">
        <f t="shared" si="50"/>
        <v/>
      </c>
      <c r="F1656" t="str">
        <f t="shared" si="51"/>
        <v/>
      </c>
    </row>
    <row r="1657" spans="1:6" ht="15" hidden="1" customHeight="1" x14ac:dyDescent="0.3">
      <c r="A1657" t="s">
        <v>157</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9" t="str">
        <f t="shared" si="50"/>
        <v/>
      </c>
      <c r="F1657" t="str">
        <f t="shared" si="51"/>
        <v/>
      </c>
    </row>
    <row r="1658" spans="1:6" ht="15" hidden="1" customHeight="1" x14ac:dyDescent="0.3">
      <c r="A1658" t="s">
        <v>160</v>
      </c>
      <c r="B1658" s="2">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9">
        <f t="shared" si="50"/>
        <v>0.38597732675612373</v>
      </c>
      <c r="F1658" t="str">
        <f t="shared" si="51"/>
        <v>Poor</v>
      </c>
    </row>
    <row r="1659" spans="1:6" ht="15" hidden="1" customHeight="1" x14ac:dyDescent="0.3">
      <c r="A1659" t="s">
        <v>160</v>
      </c>
      <c r="B1659" s="2">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9">
        <f t="shared" si="50"/>
        <v>0.88481445507404499</v>
      </c>
      <c r="F1659" t="str">
        <f t="shared" si="51"/>
        <v>Moderate</v>
      </c>
    </row>
    <row r="1660" spans="1:6" ht="15" hidden="1" customHeight="1" x14ac:dyDescent="0.3">
      <c r="A1660" t="s">
        <v>160</v>
      </c>
      <c r="B1660" s="2">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9">
        <f t="shared" si="50"/>
        <v>0.94662786842977642</v>
      </c>
      <c r="F1660" t="str">
        <f t="shared" si="51"/>
        <v>Expected</v>
      </c>
    </row>
    <row r="1661" spans="1:6" ht="15" hidden="1" customHeight="1" x14ac:dyDescent="0.3">
      <c r="A1661" t="s">
        <v>160</v>
      </c>
      <c r="B1661" s="2">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9">
        <f t="shared" si="50"/>
        <v>0.90244030806477082</v>
      </c>
      <c r="F1661" t="str">
        <f t="shared" si="51"/>
        <v>Expected</v>
      </c>
    </row>
    <row r="1662" spans="1:6" ht="15" hidden="1" customHeight="1" x14ac:dyDescent="0.3">
      <c r="A1662" t="s">
        <v>160</v>
      </c>
      <c r="B1662" s="2">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9">
        <f t="shared" si="50"/>
        <v>0.98828399805184264</v>
      </c>
      <c r="F1662" t="str">
        <f t="shared" si="51"/>
        <v>Expected</v>
      </c>
    </row>
    <row r="1663" spans="1:6" ht="15" hidden="1" customHeight="1" x14ac:dyDescent="0.3">
      <c r="A1663" t="s">
        <v>160</v>
      </c>
      <c r="B1663" s="2">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9">
        <f t="shared" si="50"/>
        <v>0.86582583275359293</v>
      </c>
      <c r="F1663" t="str">
        <f t="shared" si="51"/>
        <v>Moderate</v>
      </c>
    </row>
    <row r="1664" spans="1:6" ht="15" hidden="1" customHeight="1" x14ac:dyDescent="0.3">
      <c r="A1664" t="s">
        <v>160</v>
      </c>
      <c r="B1664" s="2">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9">
        <f t="shared" si="50"/>
        <v>0.86364072545820936</v>
      </c>
      <c r="F1664" t="str">
        <f t="shared" si="51"/>
        <v>Moderate</v>
      </c>
    </row>
    <row r="1665" spans="1:6" ht="15" hidden="1" customHeight="1" x14ac:dyDescent="0.3">
      <c r="A1665" t="s">
        <v>160</v>
      </c>
      <c r="B1665" s="2">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9">
        <f t="shared" si="50"/>
        <v>1.0367639602235783</v>
      </c>
      <c r="F1665" t="str">
        <f t="shared" si="51"/>
        <v>Expected</v>
      </c>
    </row>
    <row r="1666" spans="1:6" ht="15" hidden="1" customHeight="1" x14ac:dyDescent="0.3">
      <c r="A1666" t="s">
        <v>160</v>
      </c>
      <c r="B1666" s="2">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9">
        <f t="shared" ref="E1666:E1729" si="52">IF(OR(C1666="",D1666="",D1666=0),"",C1666/D1666)</f>
        <v>0.8880805885895815</v>
      </c>
      <c r="F1666" t="str">
        <f t="shared" ref="F1666:F1729" si="53">IF(E1666="","",IF(E1666&gt;=0.9,"Expected",IF(E1666&gt;=0.7,"Moderate","Poor")))</f>
        <v>Moderate</v>
      </c>
    </row>
    <row r="1667" spans="1:6" ht="15" hidden="1" customHeight="1" x14ac:dyDescent="0.3">
      <c r="A1667" t="s">
        <v>160</v>
      </c>
      <c r="B1667" s="2">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9">
        <f t="shared" si="52"/>
        <v>0.91219549646126152</v>
      </c>
      <c r="F1667" t="str">
        <f t="shared" si="53"/>
        <v>Expected</v>
      </c>
    </row>
    <row r="1668" spans="1:6" ht="15" hidden="1" customHeight="1" x14ac:dyDescent="0.3">
      <c r="A1668" t="s">
        <v>160</v>
      </c>
      <c r="B1668" s="2">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9">
        <f t="shared" si="52"/>
        <v>0.77121906839146603</v>
      </c>
      <c r="F1668" t="str">
        <f t="shared" si="53"/>
        <v>Moderate</v>
      </c>
    </row>
    <row r="1669" spans="1:6" ht="15" hidden="1" customHeight="1" x14ac:dyDescent="0.3">
      <c r="A1669" t="s">
        <v>160</v>
      </c>
      <c r="B1669" s="2">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9">
        <f t="shared" si="52"/>
        <v>0.67272009474930916</v>
      </c>
      <c r="F1669" t="str">
        <f t="shared" si="53"/>
        <v>Poor</v>
      </c>
    </row>
    <row r="1670" spans="1:6" ht="15" hidden="1" customHeight="1" x14ac:dyDescent="0.3">
      <c r="A1670" t="s">
        <v>160</v>
      </c>
      <c r="B1670" s="2">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9">
        <f t="shared" si="52"/>
        <v>0.66083996853699967</v>
      </c>
      <c r="F1670" t="str">
        <f t="shared" si="53"/>
        <v>Poor</v>
      </c>
    </row>
    <row r="1671" spans="1:6" ht="15" hidden="1" customHeight="1" x14ac:dyDescent="0.3">
      <c r="A1671" t="s">
        <v>160</v>
      </c>
      <c r="B1671" s="2">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9">
        <f t="shared" si="52"/>
        <v>0.55763268890455975</v>
      </c>
      <c r="F1671" t="str">
        <f t="shared" si="53"/>
        <v>Poor</v>
      </c>
    </row>
    <row r="1672" spans="1:6" ht="15" hidden="1" customHeight="1" x14ac:dyDescent="0.3">
      <c r="A1672" t="s">
        <v>160</v>
      </c>
      <c r="B1672" s="2">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9">
        <f t="shared" si="52"/>
        <v>0.7332989551487471</v>
      </c>
      <c r="F1672" t="str">
        <f t="shared" si="53"/>
        <v>Moderate</v>
      </c>
    </row>
    <row r="1673" spans="1:6" ht="15" hidden="1" customHeight="1" x14ac:dyDescent="0.3">
      <c r="A1673" t="s">
        <v>160</v>
      </c>
      <c r="B1673" s="2">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9">
        <f t="shared" si="52"/>
        <v>0.93128190733495908</v>
      </c>
      <c r="F1673" t="str">
        <f t="shared" si="53"/>
        <v>Expected</v>
      </c>
    </row>
    <row r="1674" spans="1:6" ht="15" hidden="1" customHeight="1" x14ac:dyDescent="0.3">
      <c r="A1674" t="s">
        <v>160</v>
      </c>
      <c r="B1674" s="2">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9">
        <f t="shared" si="52"/>
        <v>1.1756588559987011</v>
      </c>
      <c r="F1674" t="str">
        <f t="shared" si="53"/>
        <v>Expected</v>
      </c>
    </row>
    <row r="1675" spans="1:6" ht="15" hidden="1" customHeight="1" x14ac:dyDescent="0.3">
      <c r="A1675" t="s">
        <v>160</v>
      </c>
      <c r="B1675" s="2">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9">
        <f t="shared" si="52"/>
        <v>1.1362028382650322</v>
      </c>
      <c r="F1675" t="str">
        <f t="shared" si="53"/>
        <v>Expected</v>
      </c>
    </row>
    <row r="1676" spans="1:6" ht="15" hidden="1" customHeight="1" x14ac:dyDescent="0.3">
      <c r="A1676" t="s">
        <v>160</v>
      </c>
      <c r="B1676" s="2">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9">
        <f t="shared" si="52"/>
        <v>1.0149267559867508</v>
      </c>
      <c r="F1676" t="str">
        <f t="shared" si="53"/>
        <v>Expected</v>
      </c>
    </row>
    <row r="1677" spans="1:6" ht="15" hidden="1" customHeight="1" x14ac:dyDescent="0.3">
      <c r="A1677" t="s">
        <v>160</v>
      </c>
      <c r="B1677" s="2">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9">
        <f t="shared" si="52"/>
        <v>1.0959990932789301</v>
      </c>
      <c r="F1677" t="str">
        <f t="shared" si="53"/>
        <v>Expected</v>
      </c>
    </row>
    <row r="1678" spans="1:6" ht="15" hidden="1" customHeight="1" x14ac:dyDescent="0.3">
      <c r="A1678" t="s">
        <v>160</v>
      </c>
      <c r="B1678" s="2">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9">
        <f t="shared" si="52"/>
        <v>0.87544433553385215</v>
      </c>
      <c r="F1678" t="str">
        <f t="shared" si="53"/>
        <v>Moderate</v>
      </c>
    </row>
    <row r="1679" spans="1:6" ht="15" hidden="1" customHeight="1" x14ac:dyDescent="0.3">
      <c r="A1679" t="s">
        <v>160</v>
      </c>
      <c r="B1679" s="2">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9">
        <f t="shared" si="52"/>
        <v>0.83331674623733576</v>
      </c>
      <c r="F1679" t="str">
        <f t="shared" si="53"/>
        <v>Moderate</v>
      </c>
    </row>
    <row r="1680" spans="1:6" ht="15" hidden="1" customHeight="1" x14ac:dyDescent="0.3">
      <c r="A1680" t="s">
        <v>160</v>
      </c>
      <c r="B1680" s="2">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9">
        <f t="shared" si="52"/>
        <v>0.69970055009610121</v>
      </c>
      <c r="F1680" t="str">
        <f t="shared" si="53"/>
        <v>Poor</v>
      </c>
    </row>
    <row r="1681" spans="1:6" ht="15" hidden="1" customHeight="1" x14ac:dyDescent="0.3">
      <c r="A1681" t="s">
        <v>160</v>
      </c>
      <c r="B1681" s="2">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9">
        <f t="shared" si="52"/>
        <v>0.71191698155772376</v>
      </c>
      <c r="F1681" t="str">
        <f t="shared" si="53"/>
        <v>Moderate</v>
      </c>
    </row>
    <row r="1682" spans="1:6" ht="15" hidden="1" customHeight="1" x14ac:dyDescent="0.3">
      <c r="A1682" t="s">
        <v>160</v>
      </c>
      <c r="B1682" s="2">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9">
        <f t="shared" si="52"/>
        <v>0.81564026913146326</v>
      </c>
      <c r="F1682" t="str">
        <f t="shared" si="53"/>
        <v>Moderate</v>
      </c>
    </row>
    <row r="1683" spans="1:6" ht="15" hidden="1" customHeight="1" x14ac:dyDescent="0.3">
      <c r="A1683" t="s">
        <v>160</v>
      </c>
      <c r="B1683" s="2">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9">
        <f t="shared" si="52"/>
        <v>1.0563220990726081</v>
      </c>
      <c r="F1683" t="str">
        <f t="shared" si="53"/>
        <v>Expected</v>
      </c>
    </row>
    <row r="1684" spans="1:6" ht="15" hidden="1" customHeight="1" x14ac:dyDescent="0.3">
      <c r="A1684" t="s">
        <v>160</v>
      </c>
      <c r="B1684" s="2">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9">
        <f t="shared" si="52"/>
        <v>0.93969084189718466</v>
      </c>
      <c r="F1684" t="str">
        <f t="shared" si="53"/>
        <v>Expected</v>
      </c>
    </row>
    <row r="1685" spans="1:6" ht="15" hidden="1" customHeight="1" x14ac:dyDescent="0.3">
      <c r="A1685" t="s">
        <v>160</v>
      </c>
      <c r="B1685" s="2">
        <v>46113</v>
      </c>
      <c r="C1685" s="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9">
        <f t="shared" si="52"/>
        <v>0.94566621638216875</v>
      </c>
      <c r="F1685" t="str">
        <f t="shared" si="53"/>
        <v>Expected</v>
      </c>
    </row>
    <row r="1686" spans="1:6" ht="15" hidden="1" customHeight="1" x14ac:dyDescent="0.3">
      <c r="A1686" t="s">
        <v>160</v>
      </c>
      <c r="B1686" s="2">
        <v>46143</v>
      </c>
      <c r="C1686" s="5"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9">
        <f t="shared" si="52"/>
        <v>1.1492417068023162</v>
      </c>
      <c r="F1686" t="str">
        <f t="shared" si="53"/>
        <v>Expected</v>
      </c>
    </row>
    <row r="1687" spans="1:6" ht="15" hidden="1" customHeight="1" x14ac:dyDescent="0.3">
      <c r="A1687" t="s">
        <v>160</v>
      </c>
      <c r="B1687" s="2">
        <v>46174</v>
      </c>
      <c r="C1687" cm="1">
        <f t="array" ref="C1687">IFERROR(IF(SUMPRODUCT((measured[Site Name]=A1687)*(measured[Date]=B1687)*ISNUMBER(measured[Measured Value (kWh)]))=0,"",SUMIFS(measured[Measured Value (kWh)],measured[Site Name],A1687,measured[Date],B1687)),"")</f>
        <v>13699</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9">
        <f t="shared" si="52"/>
        <v>0.98758934911669183</v>
      </c>
      <c r="F1687" t="str">
        <f t="shared" si="53"/>
        <v>Expected</v>
      </c>
    </row>
    <row r="1688" spans="1:6" ht="15" hidden="1" customHeight="1" x14ac:dyDescent="0.3">
      <c r="A1688" t="s">
        <v>160</v>
      </c>
      <c r="B1688" s="2">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9" t="str">
        <f t="shared" si="52"/>
        <v/>
      </c>
      <c r="F1688" t="str">
        <f t="shared" si="53"/>
        <v/>
      </c>
    </row>
    <row r="1689" spans="1:6" ht="15" hidden="1" customHeight="1" x14ac:dyDescent="0.3">
      <c r="A1689" t="s">
        <v>160</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9" t="str">
        <f t="shared" si="52"/>
        <v/>
      </c>
      <c r="F1689" t="str">
        <f t="shared" si="53"/>
        <v/>
      </c>
    </row>
    <row r="1690" spans="1:6" ht="15" hidden="1" customHeight="1" x14ac:dyDescent="0.3">
      <c r="A1690" t="s">
        <v>160</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9" t="str">
        <f t="shared" si="52"/>
        <v/>
      </c>
      <c r="F1690" t="str">
        <f t="shared" si="53"/>
        <v/>
      </c>
    </row>
    <row r="1691" spans="1:6" ht="15" hidden="1" customHeight="1" x14ac:dyDescent="0.3">
      <c r="A1691" t="s">
        <v>160</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9" t="str">
        <f t="shared" si="52"/>
        <v/>
      </c>
      <c r="F1691" t="str">
        <f t="shared" si="53"/>
        <v/>
      </c>
    </row>
    <row r="1692" spans="1:6" ht="15" hidden="1" customHeight="1" x14ac:dyDescent="0.3">
      <c r="A1692" t="s">
        <v>160</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9" t="str">
        <f t="shared" si="52"/>
        <v/>
      </c>
      <c r="F1692" t="str">
        <f t="shared" si="53"/>
        <v/>
      </c>
    </row>
    <row r="1693" spans="1:6" ht="15" hidden="1" customHeight="1" x14ac:dyDescent="0.3">
      <c r="A1693" t="s">
        <v>160</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9" t="str">
        <f t="shared" si="52"/>
        <v/>
      </c>
      <c r="F1693" t="str">
        <f t="shared" si="53"/>
        <v/>
      </c>
    </row>
    <row r="1694" spans="1:6" ht="15" hidden="1" customHeight="1" x14ac:dyDescent="0.3">
      <c r="A1694" t="s">
        <v>244</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9" t="str">
        <f t="shared" si="52"/>
        <v/>
      </c>
      <c r="F1694" t="str">
        <f t="shared" si="53"/>
        <v/>
      </c>
    </row>
    <row r="1695" spans="1:6" ht="15" hidden="1" customHeight="1" x14ac:dyDescent="0.3">
      <c r="A1695" t="s">
        <v>244</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9" t="str">
        <f t="shared" si="52"/>
        <v/>
      </c>
      <c r="F1695" t="str">
        <f t="shared" si="53"/>
        <v/>
      </c>
    </row>
    <row r="1696" spans="1:6" ht="15" hidden="1" customHeight="1" x14ac:dyDescent="0.3">
      <c r="A1696" t="s">
        <v>244</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9" t="str">
        <f t="shared" si="52"/>
        <v/>
      </c>
      <c r="F1696" t="str">
        <f t="shared" si="53"/>
        <v/>
      </c>
    </row>
    <row r="1697" spans="1:6" ht="15" hidden="1" customHeight="1" x14ac:dyDescent="0.3">
      <c r="A1697" t="s">
        <v>244</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9" t="str">
        <f t="shared" si="52"/>
        <v/>
      </c>
      <c r="F1697" t="str">
        <f t="shared" si="53"/>
        <v/>
      </c>
    </row>
    <row r="1698" spans="1:6" ht="15" hidden="1" customHeight="1" x14ac:dyDescent="0.3">
      <c r="A1698" t="s">
        <v>244</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9" t="str">
        <f t="shared" si="52"/>
        <v/>
      </c>
      <c r="F1698" t="str">
        <f t="shared" si="53"/>
        <v/>
      </c>
    </row>
    <row r="1699" spans="1:6" ht="15" hidden="1" customHeight="1" x14ac:dyDescent="0.3">
      <c r="A1699" t="s">
        <v>244</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9" t="str">
        <f t="shared" si="52"/>
        <v/>
      </c>
      <c r="F1699" t="str">
        <f t="shared" si="53"/>
        <v/>
      </c>
    </row>
    <row r="1700" spans="1:6" ht="15" hidden="1" customHeight="1" x14ac:dyDescent="0.3">
      <c r="A1700" t="s">
        <v>244</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9" t="str">
        <f t="shared" si="52"/>
        <v/>
      </c>
      <c r="F1700" t="str">
        <f t="shared" si="53"/>
        <v/>
      </c>
    </row>
    <row r="1701" spans="1:6" ht="15" hidden="1" customHeight="1" x14ac:dyDescent="0.3">
      <c r="A1701" t="s">
        <v>244</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9" t="str">
        <f t="shared" si="52"/>
        <v/>
      </c>
      <c r="F1701" t="str">
        <f t="shared" si="53"/>
        <v/>
      </c>
    </row>
    <row r="1702" spans="1:6" ht="15" hidden="1" customHeight="1" x14ac:dyDescent="0.3">
      <c r="A1702" t="s">
        <v>244</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9" t="str">
        <f t="shared" si="52"/>
        <v/>
      </c>
      <c r="F1702" t="str">
        <f t="shared" si="53"/>
        <v/>
      </c>
    </row>
    <row r="1703" spans="1:6" ht="15" hidden="1" customHeight="1" x14ac:dyDescent="0.3">
      <c r="A1703" t="s">
        <v>244</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9" t="str">
        <f t="shared" si="52"/>
        <v/>
      </c>
      <c r="F1703" t="str">
        <f t="shared" si="53"/>
        <v/>
      </c>
    </row>
    <row r="1704" spans="1:6" ht="15" hidden="1" customHeight="1" x14ac:dyDescent="0.3">
      <c r="A1704" t="s">
        <v>244</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9" t="str">
        <f t="shared" si="52"/>
        <v/>
      </c>
      <c r="F1704" t="str">
        <f t="shared" si="53"/>
        <v/>
      </c>
    </row>
    <row r="1705" spans="1:6" ht="15" hidden="1" customHeight="1" x14ac:dyDescent="0.3">
      <c r="A1705" t="s">
        <v>244</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9" t="str">
        <f t="shared" si="52"/>
        <v/>
      </c>
      <c r="F1705" t="str">
        <f t="shared" si="53"/>
        <v/>
      </c>
    </row>
    <row r="1706" spans="1:6" ht="15" hidden="1" customHeight="1" x14ac:dyDescent="0.3">
      <c r="A1706" t="s">
        <v>244</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9" t="str">
        <f t="shared" si="52"/>
        <v/>
      </c>
      <c r="F1706" t="str">
        <f t="shared" si="53"/>
        <v/>
      </c>
    </row>
    <row r="1707" spans="1:6" ht="15" hidden="1" customHeight="1" x14ac:dyDescent="0.3">
      <c r="A1707" t="s">
        <v>244</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9" t="str">
        <f t="shared" si="52"/>
        <v/>
      </c>
      <c r="F1707" t="str">
        <f t="shared" si="53"/>
        <v/>
      </c>
    </row>
    <row r="1708" spans="1:6" ht="15" hidden="1" customHeight="1" x14ac:dyDescent="0.3">
      <c r="A1708" t="s">
        <v>244</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9" t="str">
        <f t="shared" si="52"/>
        <v/>
      </c>
      <c r="F1708" t="str">
        <f t="shared" si="53"/>
        <v/>
      </c>
    </row>
    <row r="1709" spans="1:6" ht="15" hidden="1" customHeight="1" x14ac:dyDescent="0.3">
      <c r="A1709" t="s">
        <v>244</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9" t="str">
        <f t="shared" si="52"/>
        <v/>
      </c>
      <c r="F1709" t="str">
        <f t="shared" si="53"/>
        <v/>
      </c>
    </row>
    <row r="1710" spans="1:6" ht="15" hidden="1" customHeight="1" x14ac:dyDescent="0.3">
      <c r="A1710" t="s">
        <v>244</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9" t="str">
        <f t="shared" si="52"/>
        <v/>
      </c>
      <c r="F1710" t="str">
        <f t="shared" si="53"/>
        <v/>
      </c>
    </row>
    <row r="1711" spans="1:6" ht="15" hidden="1" customHeight="1" x14ac:dyDescent="0.3">
      <c r="A1711" t="s">
        <v>244</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9" t="str">
        <f t="shared" si="52"/>
        <v/>
      </c>
      <c r="F1711" t="str">
        <f t="shared" si="53"/>
        <v/>
      </c>
    </row>
    <row r="1712" spans="1:6" ht="15" hidden="1" customHeight="1" x14ac:dyDescent="0.3">
      <c r="A1712" t="s">
        <v>244</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9" t="str">
        <f t="shared" si="52"/>
        <v/>
      </c>
      <c r="F1712" t="str">
        <f t="shared" si="53"/>
        <v/>
      </c>
    </row>
    <row r="1713" spans="1:6" ht="15" hidden="1" customHeight="1" x14ac:dyDescent="0.3">
      <c r="A1713" t="s">
        <v>244</v>
      </c>
      <c r="B1713" s="2">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9" t="str">
        <f t="shared" si="52"/>
        <v/>
      </c>
      <c r="F1713" t="str">
        <f t="shared" si="53"/>
        <v/>
      </c>
    </row>
    <row r="1714" spans="1:6" ht="15" hidden="1" customHeight="1" x14ac:dyDescent="0.3">
      <c r="A1714" t="s">
        <v>244</v>
      </c>
      <c r="B1714" s="2">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9" t="str">
        <f t="shared" si="52"/>
        <v/>
      </c>
      <c r="F1714" t="str">
        <f t="shared" si="53"/>
        <v/>
      </c>
    </row>
    <row r="1715" spans="1:6" ht="15" hidden="1" customHeight="1" x14ac:dyDescent="0.3">
      <c r="A1715" t="s">
        <v>244</v>
      </c>
      <c r="B1715" s="2">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9" t="str">
        <f t="shared" si="52"/>
        <v/>
      </c>
      <c r="F1715" t="str">
        <f t="shared" si="53"/>
        <v/>
      </c>
    </row>
    <row r="1716" spans="1:6" ht="15" hidden="1" customHeight="1" x14ac:dyDescent="0.3">
      <c r="A1716" t="s">
        <v>244</v>
      </c>
      <c r="B1716" s="2">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9" t="str">
        <f t="shared" si="52"/>
        <v/>
      </c>
      <c r="F1716" t="str">
        <f t="shared" si="53"/>
        <v/>
      </c>
    </row>
    <row r="1717" spans="1:6" ht="15" hidden="1" customHeight="1" x14ac:dyDescent="0.3">
      <c r="A1717" t="s">
        <v>244</v>
      </c>
      <c r="B1717" s="2">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9" t="str">
        <f t="shared" si="52"/>
        <v/>
      </c>
      <c r="F1717" t="str">
        <f t="shared" si="53"/>
        <v/>
      </c>
    </row>
    <row r="1718" spans="1:6" ht="15" hidden="1" customHeight="1" x14ac:dyDescent="0.3">
      <c r="A1718" t="s">
        <v>244</v>
      </c>
      <c r="B1718" s="2">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9" t="str">
        <f t="shared" si="52"/>
        <v/>
      </c>
      <c r="F1718" t="str">
        <f t="shared" si="53"/>
        <v/>
      </c>
    </row>
    <row r="1719" spans="1:6" ht="15" hidden="1" customHeight="1" x14ac:dyDescent="0.3">
      <c r="A1719" t="s">
        <v>244</v>
      </c>
      <c r="B1719" s="2">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9" t="str">
        <f t="shared" si="52"/>
        <v/>
      </c>
      <c r="F1719" t="str">
        <f t="shared" si="53"/>
        <v/>
      </c>
    </row>
    <row r="1720" spans="1:6" ht="15" hidden="1" customHeight="1" x14ac:dyDescent="0.3">
      <c r="A1720" t="s">
        <v>244</v>
      </c>
      <c r="B1720" s="2">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9" t="str">
        <f t="shared" si="52"/>
        <v/>
      </c>
      <c r="F1720" t="str">
        <f t="shared" si="53"/>
        <v/>
      </c>
    </row>
    <row r="1721" spans="1:6" ht="15" hidden="1" customHeight="1" x14ac:dyDescent="0.3">
      <c r="A1721" t="s">
        <v>244</v>
      </c>
      <c r="B1721" s="2">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9">
        <f t="shared" si="52"/>
        <v>0.5991140642303433</v>
      </c>
      <c r="F1721" t="str">
        <f t="shared" si="53"/>
        <v>Poor</v>
      </c>
    </row>
    <row r="1722" spans="1:6" ht="15" hidden="1" customHeight="1" x14ac:dyDescent="0.3">
      <c r="A1722" t="s">
        <v>244</v>
      </c>
      <c r="B1722" s="2">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9">
        <f t="shared" si="52"/>
        <v>0.65217391304347827</v>
      </c>
      <c r="F1722" t="str">
        <f t="shared" si="53"/>
        <v>Poor</v>
      </c>
    </row>
    <row r="1723" spans="1:6" ht="15" hidden="1" customHeight="1" x14ac:dyDescent="0.3">
      <c r="A1723" t="s">
        <v>244</v>
      </c>
      <c r="B1723" s="2">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9" t="str">
        <f t="shared" si="52"/>
        <v/>
      </c>
      <c r="F1723" t="str">
        <f t="shared" si="53"/>
        <v/>
      </c>
    </row>
    <row r="1724" spans="1:6" ht="15" hidden="1" customHeight="1" x14ac:dyDescent="0.3">
      <c r="A1724" t="s">
        <v>244</v>
      </c>
      <c r="B1724" s="2">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9" t="str">
        <f t="shared" si="52"/>
        <v/>
      </c>
      <c r="F1724" t="str">
        <f t="shared" si="53"/>
        <v/>
      </c>
    </row>
    <row r="1725" spans="1:6" ht="15" hidden="1" customHeight="1" x14ac:dyDescent="0.3">
      <c r="A1725" t="s">
        <v>244</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9" t="str">
        <f t="shared" si="52"/>
        <v/>
      </c>
      <c r="F1725" t="str">
        <f t="shared" si="53"/>
        <v/>
      </c>
    </row>
    <row r="1726" spans="1:6" ht="15" hidden="1" customHeight="1" x14ac:dyDescent="0.3">
      <c r="A1726" t="s">
        <v>244</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9" t="str">
        <f t="shared" si="52"/>
        <v/>
      </c>
      <c r="F1726" t="str">
        <f t="shared" si="53"/>
        <v/>
      </c>
    </row>
    <row r="1727" spans="1:6" ht="15" hidden="1" customHeight="1" x14ac:dyDescent="0.3">
      <c r="A1727" t="s">
        <v>244</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9" t="str">
        <f t="shared" si="52"/>
        <v/>
      </c>
      <c r="F1727" t="str">
        <f t="shared" si="53"/>
        <v/>
      </c>
    </row>
    <row r="1728" spans="1:6" ht="15" hidden="1" customHeight="1" x14ac:dyDescent="0.3">
      <c r="A1728" t="s">
        <v>244</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9" t="str">
        <f t="shared" si="52"/>
        <v/>
      </c>
      <c r="F1728" t="str">
        <f t="shared" si="53"/>
        <v/>
      </c>
    </row>
    <row r="1729" spans="1:6" ht="15" hidden="1" customHeight="1" x14ac:dyDescent="0.3">
      <c r="A1729" t="s">
        <v>244</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9" t="str">
        <f t="shared" si="52"/>
        <v/>
      </c>
      <c r="F1729" t="str">
        <f t="shared" si="53"/>
        <v/>
      </c>
    </row>
    <row r="1730" spans="1:6" ht="15" hidden="1" customHeight="1" x14ac:dyDescent="0.3">
      <c r="A1730" t="s">
        <v>213</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9" t="str">
        <f t="shared" ref="E1730:E1793" si="54">IF(OR(C1730="",D1730="",D1730=0),"",C1730/D1730)</f>
        <v/>
      </c>
      <c r="F1730" t="str">
        <f t="shared" ref="F1730:F1793" si="55">IF(E1730="","",IF(E1730&gt;=0.9,"Expected",IF(E1730&gt;=0.7,"Moderate","Poor")))</f>
        <v/>
      </c>
    </row>
    <row r="1731" spans="1:6" ht="15" hidden="1" customHeight="1" x14ac:dyDescent="0.3">
      <c r="A1731" t="s">
        <v>213</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9" t="str">
        <f t="shared" si="54"/>
        <v/>
      </c>
      <c r="F1731" t="str">
        <f t="shared" si="55"/>
        <v/>
      </c>
    </row>
    <row r="1732" spans="1:6" ht="15" hidden="1" customHeight="1" x14ac:dyDescent="0.3">
      <c r="A1732" t="s">
        <v>213</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9" t="str">
        <f t="shared" si="54"/>
        <v/>
      </c>
      <c r="F1732" t="str">
        <f t="shared" si="55"/>
        <v/>
      </c>
    </row>
    <row r="1733" spans="1:6" ht="15" hidden="1" customHeight="1" x14ac:dyDescent="0.3">
      <c r="A1733" t="s">
        <v>213</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9" t="str">
        <f t="shared" si="54"/>
        <v/>
      </c>
      <c r="F1733" t="str">
        <f t="shared" si="55"/>
        <v/>
      </c>
    </row>
    <row r="1734" spans="1:6" ht="15" hidden="1" customHeight="1" x14ac:dyDescent="0.3">
      <c r="A1734" t="s">
        <v>213</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9" t="str">
        <f t="shared" si="54"/>
        <v/>
      </c>
      <c r="F1734" t="str">
        <f t="shared" si="55"/>
        <v/>
      </c>
    </row>
    <row r="1735" spans="1:6" ht="15" hidden="1" customHeight="1" x14ac:dyDescent="0.3">
      <c r="A1735" t="s">
        <v>213</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9" t="str">
        <f t="shared" si="54"/>
        <v/>
      </c>
      <c r="F1735" t="str">
        <f t="shared" si="55"/>
        <v/>
      </c>
    </row>
    <row r="1736" spans="1:6" ht="15" hidden="1" customHeight="1" x14ac:dyDescent="0.3">
      <c r="A1736" t="s">
        <v>213</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9" t="str">
        <f t="shared" si="54"/>
        <v/>
      </c>
      <c r="F1736" t="str">
        <f t="shared" si="55"/>
        <v/>
      </c>
    </row>
    <row r="1737" spans="1:6" ht="15" hidden="1" customHeight="1" x14ac:dyDescent="0.3">
      <c r="A1737" t="s">
        <v>213</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9" t="str">
        <f t="shared" si="54"/>
        <v/>
      </c>
      <c r="F1737" t="str">
        <f t="shared" si="55"/>
        <v/>
      </c>
    </row>
    <row r="1738" spans="1:6" ht="15" hidden="1" customHeight="1" x14ac:dyDescent="0.3">
      <c r="A1738" t="s">
        <v>213</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9" t="str">
        <f t="shared" si="54"/>
        <v/>
      </c>
      <c r="F1738" t="str">
        <f t="shared" si="55"/>
        <v/>
      </c>
    </row>
    <row r="1739" spans="1:6" ht="15" hidden="1" customHeight="1" x14ac:dyDescent="0.3">
      <c r="A1739" t="s">
        <v>213</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9" t="str">
        <f t="shared" si="54"/>
        <v/>
      </c>
      <c r="F1739" t="str">
        <f t="shared" si="55"/>
        <v/>
      </c>
    </row>
    <row r="1740" spans="1:6" ht="15" hidden="1" customHeight="1" x14ac:dyDescent="0.3">
      <c r="A1740" t="s">
        <v>213</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9" t="str">
        <f t="shared" si="54"/>
        <v/>
      </c>
      <c r="F1740" t="str">
        <f t="shared" si="55"/>
        <v/>
      </c>
    </row>
    <row r="1741" spans="1:6" ht="15" hidden="1" customHeight="1" x14ac:dyDescent="0.3">
      <c r="A1741" t="s">
        <v>213</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9" t="str">
        <f t="shared" si="54"/>
        <v/>
      </c>
      <c r="F1741" t="str">
        <f t="shared" si="55"/>
        <v/>
      </c>
    </row>
    <row r="1742" spans="1:6" ht="15" hidden="1" customHeight="1" x14ac:dyDescent="0.3">
      <c r="A1742" t="s">
        <v>213</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9" t="str">
        <f t="shared" si="54"/>
        <v/>
      </c>
      <c r="F1742" t="str">
        <f t="shared" si="55"/>
        <v/>
      </c>
    </row>
    <row r="1743" spans="1:6" ht="15" hidden="1" customHeight="1" x14ac:dyDescent="0.3">
      <c r="A1743" t="s">
        <v>213</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9" t="str">
        <f t="shared" si="54"/>
        <v/>
      </c>
      <c r="F1743" t="str">
        <f t="shared" si="55"/>
        <v/>
      </c>
    </row>
    <row r="1744" spans="1:6" ht="15" hidden="1" customHeight="1" x14ac:dyDescent="0.3">
      <c r="A1744" t="s">
        <v>213</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9" t="str">
        <f t="shared" si="54"/>
        <v/>
      </c>
      <c r="F1744" t="str">
        <f t="shared" si="55"/>
        <v/>
      </c>
    </row>
    <row r="1745" spans="1:6" ht="15" hidden="1" customHeight="1" x14ac:dyDescent="0.3">
      <c r="A1745" t="s">
        <v>213</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9" t="str">
        <f t="shared" si="54"/>
        <v/>
      </c>
      <c r="F1745" t="str">
        <f t="shared" si="55"/>
        <v/>
      </c>
    </row>
    <row r="1746" spans="1:6" ht="15" hidden="1" customHeight="1" x14ac:dyDescent="0.3">
      <c r="A1746" t="s">
        <v>213</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9" t="str">
        <f t="shared" si="54"/>
        <v/>
      </c>
      <c r="F1746" t="str">
        <f t="shared" si="55"/>
        <v/>
      </c>
    </row>
    <row r="1747" spans="1:6" ht="15" hidden="1" customHeight="1" x14ac:dyDescent="0.3">
      <c r="A1747" t="s">
        <v>213</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9" t="str">
        <f t="shared" si="54"/>
        <v/>
      </c>
      <c r="F1747" t="str">
        <f t="shared" si="55"/>
        <v/>
      </c>
    </row>
    <row r="1748" spans="1:6" ht="15" hidden="1" customHeight="1" x14ac:dyDescent="0.3">
      <c r="A1748" t="s">
        <v>213</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9" t="str">
        <f t="shared" si="54"/>
        <v/>
      </c>
      <c r="F1748" t="str">
        <f t="shared" si="55"/>
        <v/>
      </c>
    </row>
    <row r="1749" spans="1:6" ht="15" hidden="1" customHeight="1" x14ac:dyDescent="0.3">
      <c r="A1749" t="s">
        <v>213</v>
      </c>
      <c r="B1749" s="2">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9">
        <f t="shared" si="54"/>
        <v>1.2379288080399737</v>
      </c>
      <c r="F1749" t="str">
        <f t="shared" si="55"/>
        <v>Expected</v>
      </c>
    </row>
    <row r="1750" spans="1:6" ht="15" hidden="1" customHeight="1" x14ac:dyDescent="0.3">
      <c r="A1750" t="s">
        <v>213</v>
      </c>
      <c r="B1750" s="2">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9">
        <f t="shared" si="54"/>
        <v>0.9367767859413545</v>
      </c>
      <c r="F1750" t="str">
        <f t="shared" si="55"/>
        <v>Expected</v>
      </c>
    </row>
    <row r="1751" spans="1:6" ht="15" hidden="1" customHeight="1" x14ac:dyDescent="0.3">
      <c r="A1751" t="s">
        <v>213</v>
      </c>
      <c r="B1751" s="2">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9">
        <f t="shared" si="54"/>
        <v>0.97966071587174697</v>
      </c>
      <c r="F1751" t="str">
        <f t="shared" si="55"/>
        <v>Expected</v>
      </c>
    </row>
    <row r="1752" spans="1:6" ht="15" hidden="1" customHeight="1" x14ac:dyDescent="0.3">
      <c r="A1752" t="s">
        <v>213</v>
      </c>
      <c r="B1752" s="2">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9">
        <f t="shared" si="54"/>
        <v>0.85408540854085402</v>
      </c>
      <c r="F1752" t="str">
        <f t="shared" si="55"/>
        <v>Moderate</v>
      </c>
    </row>
    <row r="1753" spans="1:6" ht="15" hidden="1" customHeight="1" x14ac:dyDescent="0.3">
      <c r="A1753" t="s">
        <v>213</v>
      </c>
      <c r="B1753" s="2">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9">
        <f t="shared" si="54"/>
        <v>1.0096091416699129</v>
      </c>
      <c r="F1753" t="str">
        <f t="shared" si="55"/>
        <v>Expected</v>
      </c>
    </row>
    <row r="1754" spans="1:6" ht="15" hidden="1" customHeight="1" x14ac:dyDescent="0.3">
      <c r="A1754" t="s">
        <v>213</v>
      </c>
      <c r="B1754" s="2">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9">
        <f t="shared" si="54"/>
        <v>1.0085089924579387</v>
      </c>
      <c r="F1754" t="str">
        <f t="shared" si="55"/>
        <v>Expected</v>
      </c>
    </row>
    <row r="1755" spans="1:6" ht="15" hidden="1" customHeight="1" x14ac:dyDescent="0.3">
      <c r="A1755" t="s">
        <v>213</v>
      </c>
      <c r="B1755" s="2">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9">
        <f t="shared" si="54"/>
        <v>1.0747447481223209</v>
      </c>
      <c r="F1755" t="str">
        <f t="shared" si="55"/>
        <v>Expected</v>
      </c>
    </row>
    <row r="1756" spans="1:6" ht="15" hidden="1" customHeight="1" x14ac:dyDescent="0.3">
      <c r="A1756" t="s">
        <v>213</v>
      </c>
      <c r="B1756" s="2">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9">
        <f t="shared" si="54"/>
        <v>0.86482399825728162</v>
      </c>
      <c r="F1756" t="str">
        <f t="shared" si="55"/>
        <v>Moderate</v>
      </c>
    </row>
    <row r="1757" spans="1:6" ht="15" hidden="1" customHeight="1" x14ac:dyDescent="0.3">
      <c r="A1757" t="s">
        <v>213</v>
      </c>
      <c r="B1757" s="2">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9">
        <f t="shared" si="54"/>
        <v>0.89777748301425175</v>
      </c>
      <c r="F1757" t="str">
        <f t="shared" si="55"/>
        <v>Moderate</v>
      </c>
    </row>
    <row r="1758" spans="1:6" ht="15" hidden="1" customHeight="1" x14ac:dyDescent="0.3">
      <c r="A1758" t="s">
        <v>213</v>
      </c>
      <c r="B1758" s="2">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9">
        <f t="shared" si="54"/>
        <v>0.98811216809198943</v>
      </c>
      <c r="F1758" t="str">
        <f t="shared" si="55"/>
        <v>Expected</v>
      </c>
    </row>
    <row r="1759" spans="1:6" ht="15" hidden="1" customHeight="1" x14ac:dyDescent="0.3">
      <c r="A1759" t="s">
        <v>213</v>
      </c>
      <c r="B1759" s="2">
        <v>46174</v>
      </c>
      <c r="C1759" cm="1">
        <f t="array" ref="C1759">IFERROR(IF(SUMPRODUCT((measured[Site Name]=A1759)*(measured[Date]=B1759)*ISNUMBER(measured[Measured Value (kWh)]))=0,"",SUMIFS(measured[Measured Value (kWh)],measured[Site Name],A1759,measured[Date],B1759)),"")</f>
        <v>4726</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9">
        <f t="shared" si="54"/>
        <v>0.85550848991709205</v>
      </c>
      <c r="F1759" t="str">
        <f t="shared" si="55"/>
        <v>Moderate</v>
      </c>
    </row>
    <row r="1760" spans="1:6" ht="15" hidden="1" customHeight="1" x14ac:dyDescent="0.3">
      <c r="A1760" t="s">
        <v>213</v>
      </c>
      <c r="B1760" s="2">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9" t="str">
        <f t="shared" si="54"/>
        <v/>
      </c>
      <c r="F1760" t="str">
        <f t="shared" si="55"/>
        <v/>
      </c>
    </row>
    <row r="1761" spans="1:6" ht="15" hidden="1" customHeight="1" x14ac:dyDescent="0.3">
      <c r="A1761" t="s">
        <v>213</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9" t="str">
        <f t="shared" si="54"/>
        <v/>
      </c>
      <c r="F1761" t="str">
        <f t="shared" si="55"/>
        <v/>
      </c>
    </row>
    <row r="1762" spans="1:6" ht="15" hidden="1" customHeight="1" x14ac:dyDescent="0.3">
      <c r="A1762" t="s">
        <v>213</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9" t="str">
        <f t="shared" si="54"/>
        <v/>
      </c>
      <c r="F1762" t="str">
        <f t="shared" si="55"/>
        <v/>
      </c>
    </row>
    <row r="1763" spans="1:6" ht="15" hidden="1" customHeight="1" x14ac:dyDescent="0.3">
      <c r="A1763" t="s">
        <v>213</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9" t="str">
        <f t="shared" si="54"/>
        <v/>
      </c>
      <c r="F1763" t="str">
        <f t="shared" si="55"/>
        <v/>
      </c>
    </row>
    <row r="1764" spans="1:6" ht="15" hidden="1" customHeight="1" x14ac:dyDescent="0.3">
      <c r="A1764" t="s">
        <v>213</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9" t="str">
        <f t="shared" si="54"/>
        <v/>
      </c>
      <c r="F1764" t="str">
        <f t="shared" si="55"/>
        <v/>
      </c>
    </row>
    <row r="1765" spans="1:6" ht="15" hidden="1" customHeight="1" x14ac:dyDescent="0.3">
      <c r="A1765" t="s">
        <v>213</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9" t="str">
        <f t="shared" si="54"/>
        <v/>
      </c>
      <c r="F1765" t="str">
        <f t="shared" si="55"/>
        <v/>
      </c>
    </row>
    <row r="1766" spans="1:6" ht="15" hidden="1" customHeight="1" x14ac:dyDescent="0.3">
      <c r="A1766" t="s">
        <v>216</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9" t="str">
        <f t="shared" si="54"/>
        <v/>
      </c>
      <c r="F1766" t="str">
        <f t="shared" si="55"/>
        <v/>
      </c>
    </row>
    <row r="1767" spans="1:6" ht="15" hidden="1" customHeight="1" x14ac:dyDescent="0.3">
      <c r="A1767" t="s">
        <v>216</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9" t="str">
        <f t="shared" si="54"/>
        <v/>
      </c>
      <c r="F1767" t="str">
        <f t="shared" si="55"/>
        <v/>
      </c>
    </row>
    <row r="1768" spans="1:6" ht="15" hidden="1" customHeight="1" x14ac:dyDescent="0.3">
      <c r="A1768" t="s">
        <v>216</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9" t="str">
        <f t="shared" si="54"/>
        <v/>
      </c>
      <c r="F1768" t="str">
        <f t="shared" si="55"/>
        <v/>
      </c>
    </row>
    <row r="1769" spans="1:6" ht="15" hidden="1" customHeight="1" x14ac:dyDescent="0.3">
      <c r="A1769" t="s">
        <v>216</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9" t="str">
        <f t="shared" si="54"/>
        <v/>
      </c>
      <c r="F1769" t="str">
        <f t="shared" si="55"/>
        <v/>
      </c>
    </row>
    <row r="1770" spans="1:6" ht="15" hidden="1" customHeight="1" x14ac:dyDescent="0.3">
      <c r="A1770" t="s">
        <v>216</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9" t="str">
        <f t="shared" si="54"/>
        <v/>
      </c>
      <c r="F1770" t="str">
        <f t="shared" si="55"/>
        <v/>
      </c>
    </row>
    <row r="1771" spans="1:6" ht="15" hidden="1" customHeight="1" x14ac:dyDescent="0.3">
      <c r="A1771" t="s">
        <v>216</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9" t="str">
        <f t="shared" si="54"/>
        <v/>
      </c>
      <c r="F1771" t="str">
        <f t="shared" si="55"/>
        <v/>
      </c>
    </row>
    <row r="1772" spans="1:6" ht="15" hidden="1" customHeight="1" x14ac:dyDescent="0.3">
      <c r="A1772" t="s">
        <v>216</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9" t="str">
        <f t="shared" si="54"/>
        <v/>
      </c>
      <c r="F1772" t="str">
        <f t="shared" si="55"/>
        <v/>
      </c>
    </row>
    <row r="1773" spans="1:6" ht="15" hidden="1" customHeight="1" x14ac:dyDescent="0.3">
      <c r="A1773" t="s">
        <v>216</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9" t="str">
        <f t="shared" si="54"/>
        <v/>
      </c>
      <c r="F1773" t="str">
        <f t="shared" si="55"/>
        <v/>
      </c>
    </row>
    <row r="1774" spans="1:6" ht="15" hidden="1" customHeight="1" x14ac:dyDescent="0.3">
      <c r="A1774" t="s">
        <v>216</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9" t="str">
        <f t="shared" si="54"/>
        <v/>
      </c>
      <c r="F1774" t="str">
        <f t="shared" si="55"/>
        <v/>
      </c>
    </row>
    <row r="1775" spans="1:6" ht="15" hidden="1" customHeight="1" x14ac:dyDescent="0.3">
      <c r="A1775" t="s">
        <v>216</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9" t="str">
        <f t="shared" si="54"/>
        <v/>
      </c>
      <c r="F1775" t="str">
        <f t="shared" si="55"/>
        <v/>
      </c>
    </row>
    <row r="1776" spans="1:6" ht="15" hidden="1" customHeight="1" x14ac:dyDescent="0.3">
      <c r="A1776" t="s">
        <v>216</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9" t="str">
        <f t="shared" si="54"/>
        <v/>
      </c>
      <c r="F1776" t="str">
        <f t="shared" si="55"/>
        <v/>
      </c>
    </row>
    <row r="1777" spans="1:6" ht="15" hidden="1" customHeight="1" x14ac:dyDescent="0.3">
      <c r="A1777" t="s">
        <v>216</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9" t="str">
        <f t="shared" si="54"/>
        <v/>
      </c>
      <c r="F1777" t="str">
        <f t="shared" si="55"/>
        <v/>
      </c>
    </row>
    <row r="1778" spans="1:6" ht="15" hidden="1" customHeight="1" x14ac:dyDescent="0.3">
      <c r="A1778" t="s">
        <v>216</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9" t="str">
        <f t="shared" si="54"/>
        <v/>
      </c>
      <c r="F1778" t="str">
        <f t="shared" si="55"/>
        <v/>
      </c>
    </row>
    <row r="1779" spans="1:6" ht="15" hidden="1" customHeight="1" x14ac:dyDescent="0.3">
      <c r="A1779" t="s">
        <v>216</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9" t="str">
        <f t="shared" si="54"/>
        <v/>
      </c>
      <c r="F1779" t="str">
        <f t="shared" si="55"/>
        <v/>
      </c>
    </row>
    <row r="1780" spans="1:6" ht="15" hidden="1" customHeight="1" x14ac:dyDescent="0.3">
      <c r="A1780" t="s">
        <v>216</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9" t="str">
        <f t="shared" si="54"/>
        <v/>
      </c>
      <c r="F1780" t="str">
        <f t="shared" si="55"/>
        <v/>
      </c>
    </row>
    <row r="1781" spans="1:6" ht="15" hidden="1" customHeight="1" x14ac:dyDescent="0.3">
      <c r="A1781" t="s">
        <v>216</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9" t="str">
        <f t="shared" si="54"/>
        <v/>
      </c>
      <c r="F1781" t="str">
        <f t="shared" si="55"/>
        <v/>
      </c>
    </row>
    <row r="1782" spans="1:6" ht="15" hidden="1" customHeight="1" x14ac:dyDescent="0.3">
      <c r="A1782" t="s">
        <v>216</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9" t="str">
        <f t="shared" si="54"/>
        <v/>
      </c>
      <c r="F1782" t="str">
        <f t="shared" si="55"/>
        <v/>
      </c>
    </row>
    <row r="1783" spans="1:6" ht="15" hidden="1" customHeight="1" x14ac:dyDescent="0.3">
      <c r="A1783" t="s">
        <v>216</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9" t="str">
        <f t="shared" si="54"/>
        <v/>
      </c>
      <c r="F1783" t="str">
        <f t="shared" si="55"/>
        <v/>
      </c>
    </row>
    <row r="1784" spans="1:6" ht="15" hidden="1" customHeight="1" x14ac:dyDescent="0.3">
      <c r="A1784" t="s">
        <v>216</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9" t="str">
        <f t="shared" si="54"/>
        <v/>
      </c>
      <c r="F1784" t="str">
        <f t="shared" si="55"/>
        <v/>
      </c>
    </row>
    <row r="1785" spans="1:6" ht="15" hidden="1" customHeight="1" x14ac:dyDescent="0.3">
      <c r="A1785" t="s">
        <v>216</v>
      </c>
      <c r="B1785" s="2">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9">
        <f t="shared" si="54"/>
        <v>1.1379610299234513</v>
      </c>
      <c r="F1785" t="str">
        <f t="shared" si="55"/>
        <v>Expected</v>
      </c>
    </row>
    <row r="1786" spans="1:6" ht="15" hidden="1" customHeight="1" x14ac:dyDescent="0.3">
      <c r="A1786" t="s">
        <v>216</v>
      </c>
      <c r="B1786" s="2">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9">
        <f t="shared" si="54"/>
        <v>0.86091539349329727</v>
      </c>
      <c r="F1786" t="str">
        <f t="shared" si="55"/>
        <v>Moderate</v>
      </c>
    </row>
    <row r="1787" spans="1:6" ht="15" hidden="1" customHeight="1" x14ac:dyDescent="0.3">
      <c r="A1787" t="s">
        <v>216</v>
      </c>
      <c r="B1787" s="2">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9">
        <f t="shared" si="54"/>
        <v>0.94490484469046521</v>
      </c>
      <c r="F1787" t="str">
        <f t="shared" si="55"/>
        <v>Expected</v>
      </c>
    </row>
    <row r="1788" spans="1:6" ht="15" hidden="1" customHeight="1" x14ac:dyDescent="0.3">
      <c r="A1788" t="s">
        <v>216</v>
      </c>
      <c r="B1788" s="2">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9">
        <f t="shared" si="54"/>
        <v>0.80641885029453586</v>
      </c>
      <c r="F1788" t="str">
        <f t="shared" si="55"/>
        <v>Moderate</v>
      </c>
    </row>
    <row r="1789" spans="1:6" ht="15" hidden="1" customHeight="1" x14ac:dyDescent="0.3">
      <c r="A1789" t="s">
        <v>216</v>
      </c>
      <c r="B1789" s="2">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9">
        <f t="shared" si="54"/>
        <v>0.96820270557454258</v>
      </c>
      <c r="F1789" t="str">
        <f t="shared" si="55"/>
        <v>Expected</v>
      </c>
    </row>
    <row r="1790" spans="1:6" ht="15" hidden="1" customHeight="1" x14ac:dyDescent="0.3">
      <c r="A1790" t="s">
        <v>216</v>
      </c>
      <c r="B1790" s="2">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9">
        <f t="shared" si="54"/>
        <v>0.9714086208987176</v>
      </c>
      <c r="F1790" t="str">
        <f t="shared" si="55"/>
        <v>Expected</v>
      </c>
    </row>
    <row r="1791" spans="1:6" ht="15" hidden="1" customHeight="1" x14ac:dyDescent="0.3">
      <c r="A1791" t="s">
        <v>216</v>
      </c>
      <c r="B1791" s="2">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9">
        <f t="shared" si="54"/>
        <v>1.0237140345172286</v>
      </c>
      <c r="F1791" t="str">
        <f t="shared" si="55"/>
        <v>Expected</v>
      </c>
    </row>
    <row r="1792" spans="1:6" ht="15" hidden="1" customHeight="1" x14ac:dyDescent="0.3">
      <c r="A1792" t="s">
        <v>216</v>
      </c>
      <c r="B1792" s="2">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9">
        <f t="shared" si="54"/>
        <v>0.84464794464794468</v>
      </c>
      <c r="F1792" t="str">
        <f t="shared" si="55"/>
        <v>Moderate</v>
      </c>
    </row>
    <row r="1793" spans="1:6" ht="15" hidden="1" customHeight="1" x14ac:dyDescent="0.3">
      <c r="A1793" t="s">
        <v>216</v>
      </c>
      <c r="B1793" s="2">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9">
        <f t="shared" si="54"/>
        <v>0.84444397690347617</v>
      </c>
      <c r="F1793" t="str">
        <f t="shared" si="55"/>
        <v>Moderate</v>
      </c>
    </row>
    <row r="1794" spans="1:6" ht="15" hidden="1" customHeight="1" x14ac:dyDescent="0.3">
      <c r="A1794" t="s">
        <v>216</v>
      </c>
      <c r="B1794" s="2">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9">
        <f t="shared" ref="E1794:E1857" si="56">IF(OR(C1794="",D1794="",D1794=0),"",C1794/D1794)</f>
        <v>0.95867771947169622</v>
      </c>
      <c r="F1794" t="str">
        <f t="shared" ref="F1794:F1857" si="57">IF(E1794="","",IF(E1794&gt;=0.9,"Expected",IF(E1794&gt;=0.7,"Moderate","Poor")))</f>
        <v>Expected</v>
      </c>
    </row>
    <row r="1795" spans="1:6" ht="15" hidden="1" customHeight="1" x14ac:dyDescent="0.3">
      <c r="A1795" t="s">
        <v>216</v>
      </c>
      <c r="B1795" s="2">
        <v>46174</v>
      </c>
      <c r="C1795" cm="1">
        <f t="array" ref="C1795">IFERROR(IF(SUMPRODUCT((measured[Site Name]=A1795)*(measured[Date]=B1795)*ISNUMBER(measured[Measured Value (kWh)]))=0,"",SUMIFS(measured[Measured Value (kWh)],measured[Site Name],A1795,measured[Date],B1795)),"")</f>
        <v>14035.5</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9">
        <f t="shared" si="56"/>
        <v>0.80519413465510115</v>
      </c>
      <c r="F1795" t="str">
        <f t="shared" si="57"/>
        <v>Moderate</v>
      </c>
    </row>
    <row r="1796" spans="1:6" ht="15" hidden="1" customHeight="1" x14ac:dyDescent="0.3">
      <c r="A1796" t="s">
        <v>216</v>
      </c>
      <c r="B1796" s="2">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9" t="str">
        <f t="shared" si="56"/>
        <v/>
      </c>
      <c r="F1796" t="str">
        <f t="shared" si="57"/>
        <v/>
      </c>
    </row>
    <row r="1797" spans="1:6" ht="15" hidden="1" customHeight="1" x14ac:dyDescent="0.3">
      <c r="A1797" t="s">
        <v>216</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9" t="str">
        <f t="shared" si="56"/>
        <v/>
      </c>
      <c r="F1797" t="str">
        <f t="shared" si="57"/>
        <v/>
      </c>
    </row>
    <row r="1798" spans="1:6" ht="15" hidden="1" customHeight="1" x14ac:dyDescent="0.3">
      <c r="A1798" t="s">
        <v>216</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9" t="str">
        <f t="shared" si="56"/>
        <v/>
      </c>
      <c r="F1798" t="str">
        <f t="shared" si="57"/>
        <v/>
      </c>
    </row>
    <row r="1799" spans="1:6" ht="15" hidden="1" customHeight="1" x14ac:dyDescent="0.3">
      <c r="A1799" t="s">
        <v>216</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9" t="str">
        <f t="shared" si="56"/>
        <v/>
      </c>
      <c r="F1799" t="str">
        <f t="shared" si="57"/>
        <v/>
      </c>
    </row>
    <row r="1800" spans="1:6" ht="15" hidden="1" customHeight="1" x14ac:dyDescent="0.3">
      <c r="A1800" t="s">
        <v>216</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9" t="str">
        <f t="shared" si="56"/>
        <v/>
      </c>
      <c r="F1800" t="str">
        <f t="shared" si="57"/>
        <v/>
      </c>
    </row>
    <row r="1801" spans="1:6" ht="15" hidden="1" customHeight="1" x14ac:dyDescent="0.3">
      <c r="A1801" t="s">
        <v>216</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9" t="str">
        <f t="shared" si="56"/>
        <v/>
      </c>
      <c r="F1801" t="str">
        <f t="shared" si="57"/>
        <v/>
      </c>
    </row>
    <row r="1802" spans="1:6" ht="15" hidden="1" customHeight="1" x14ac:dyDescent="0.3">
      <c r="A1802" t="s">
        <v>218</v>
      </c>
      <c r="B1802" s="2">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9" t="str">
        <f t="shared" si="56"/>
        <v/>
      </c>
      <c r="F1802" t="str">
        <f t="shared" si="57"/>
        <v/>
      </c>
    </row>
    <row r="1803" spans="1:6" ht="15" hidden="1" customHeight="1" x14ac:dyDescent="0.3">
      <c r="A1803" t="s">
        <v>218</v>
      </c>
      <c r="B1803" s="2">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9" t="str">
        <f t="shared" si="56"/>
        <v/>
      </c>
      <c r="F1803" t="str">
        <f t="shared" si="57"/>
        <v/>
      </c>
    </row>
    <row r="1804" spans="1:6" ht="15" hidden="1" customHeight="1" x14ac:dyDescent="0.3">
      <c r="A1804" t="s">
        <v>218</v>
      </c>
      <c r="B1804" s="2">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9" t="str">
        <f t="shared" si="56"/>
        <v/>
      </c>
      <c r="F1804" t="str">
        <f t="shared" si="57"/>
        <v/>
      </c>
    </row>
    <row r="1805" spans="1:6" ht="15" hidden="1" customHeight="1" x14ac:dyDescent="0.3">
      <c r="A1805" t="s">
        <v>218</v>
      </c>
      <c r="B1805" s="2">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9" t="str">
        <f t="shared" si="56"/>
        <v/>
      </c>
      <c r="F1805" t="str">
        <f t="shared" si="57"/>
        <v/>
      </c>
    </row>
    <row r="1806" spans="1:6" ht="15" hidden="1" customHeight="1" x14ac:dyDescent="0.3">
      <c r="A1806" t="s">
        <v>218</v>
      </c>
      <c r="B1806" s="2">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9" t="str">
        <f t="shared" si="56"/>
        <v/>
      </c>
      <c r="F1806" t="str">
        <f t="shared" si="57"/>
        <v/>
      </c>
    </row>
    <row r="1807" spans="1:6" ht="15" hidden="1" customHeight="1" x14ac:dyDescent="0.3">
      <c r="A1807" t="s">
        <v>218</v>
      </c>
      <c r="B1807" s="2">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9" t="str">
        <f t="shared" si="56"/>
        <v/>
      </c>
      <c r="F1807" t="str">
        <f t="shared" si="57"/>
        <v/>
      </c>
    </row>
    <row r="1808" spans="1:6" ht="15" hidden="1" customHeight="1" x14ac:dyDescent="0.3">
      <c r="A1808" t="s">
        <v>218</v>
      </c>
      <c r="B1808" s="2">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9" t="str">
        <f t="shared" si="56"/>
        <v/>
      </c>
      <c r="F1808" t="str">
        <f t="shared" si="57"/>
        <v/>
      </c>
    </row>
    <row r="1809" spans="1:6" ht="15" hidden="1" customHeight="1" x14ac:dyDescent="0.3">
      <c r="A1809" t="s">
        <v>218</v>
      </c>
      <c r="B1809" s="2">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9" t="str">
        <f t="shared" si="56"/>
        <v/>
      </c>
      <c r="F1809" t="str">
        <f t="shared" si="57"/>
        <v/>
      </c>
    </row>
    <row r="1810" spans="1:6" ht="15" hidden="1" customHeight="1" x14ac:dyDescent="0.3">
      <c r="A1810" t="s">
        <v>218</v>
      </c>
      <c r="B1810" s="2">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9" t="str">
        <f t="shared" si="56"/>
        <v/>
      </c>
      <c r="F1810" t="str">
        <f t="shared" si="57"/>
        <v/>
      </c>
    </row>
    <row r="1811" spans="1:6" ht="15" hidden="1" customHeight="1" x14ac:dyDescent="0.3">
      <c r="A1811" t="s">
        <v>218</v>
      </c>
      <c r="B1811" s="2">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9" t="str">
        <f t="shared" si="56"/>
        <v/>
      </c>
      <c r="F1811" t="str">
        <f t="shared" si="57"/>
        <v/>
      </c>
    </row>
    <row r="1812" spans="1:6" ht="15" hidden="1" customHeight="1" x14ac:dyDescent="0.3">
      <c r="A1812" t="s">
        <v>218</v>
      </c>
      <c r="B1812" s="2">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9" t="str">
        <f t="shared" si="56"/>
        <v/>
      </c>
      <c r="F1812" t="str">
        <f t="shared" si="57"/>
        <v/>
      </c>
    </row>
    <row r="1813" spans="1:6" ht="15" hidden="1" customHeight="1" x14ac:dyDescent="0.3">
      <c r="A1813" t="s">
        <v>218</v>
      </c>
      <c r="B1813" s="2">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9" t="str">
        <f t="shared" si="56"/>
        <v/>
      </c>
      <c r="F1813" t="str">
        <f t="shared" si="57"/>
        <v/>
      </c>
    </row>
    <row r="1814" spans="1:6" ht="15" hidden="1" customHeight="1" x14ac:dyDescent="0.3">
      <c r="A1814" t="s">
        <v>218</v>
      </c>
      <c r="B1814" s="2">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9" t="str">
        <f t="shared" si="56"/>
        <v/>
      </c>
      <c r="F1814" t="str">
        <f t="shared" si="57"/>
        <v/>
      </c>
    </row>
    <row r="1815" spans="1:6" ht="15" hidden="1" customHeight="1" x14ac:dyDescent="0.3">
      <c r="A1815" t="s">
        <v>218</v>
      </c>
      <c r="B1815" s="2">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9" t="str">
        <f t="shared" si="56"/>
        <v/>
      </c>
      <c r="F1815" t="str">
        <f t="shared" si="57"/>
        <v/>
      </c>
    </row>
    <row r="1816" spans="1:6" ht="15" hidden="1" customHeight="1" x14ac:dyDescent="0.3">
      <c r="A1816" t="s">
        <v>218</v>
      </c>
      <c r="B1816" s="2">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9" t="str">
        <f t="shared" si="56"/>
        <v/>
      </c>
      <c r="F1816" t="str">
        <f t="shared" si="57"/>
        <v/>
      </c>
    </row>
    <row r="1817" spans="1:6" ht="15" hidden="1" customHeight="1" x14ac:dyDescent="0.3">
      <c r="A1817" t="s">
        <v>218</v>
      </c>
      <c r="B1817" s="2">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9" t="str">
        <f t="shared" si="56"/>
        <v/>
      </c>
      <c r="F1817" t="str">
        <f t="shared" si="57"/>
        <v/>
      </c>
    </row>
    <row r="1818" spans="1:6" ht="15" hidden="1" customHeight="1" x14ac:dyDescent="0.3">
      <c r="A1818" t="s">
        <v>218</v>
      </c>
      <c r="B1818" s="2">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9" t="str">
        <f t="shared" si="56"/>
        <v/>
      </c>
      <c r="F1818" t="str">
        <f t="shared" si="57"/>
        <v/>
      </c>
    </row>
    <row r="1819" spans="1:6" ht="15" hidden="1" customHeight="1" x14ac:dyDescent="0.3">
      <c r="A1819" t="s">
        <v>218</v>
      </c>
      <c r="B1819" s="2">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9" t="str">
        <f t="shared" si="56"/>
        <v/>
      </c>
      <c r="F1819" t="str">
        <f t="shared" si="57"/>
        <v/>
      </c>
    </row>
    <row r="1820" spans="1:6" ht="15" hidden="1" customHeight="1" x14ac:dyDescent="0.3">
      <c r="A1820" t="s">
        <v>218</v>
      </c>
      <c r="B1820" s="2">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9" t="str">
        <f t="shared" si="56"/>
        <v/>
      </c>
      <c r="F1820" t="str">
        <f t="shared" si="57"/>
        <v/>
      </c>
    </row>
    <row r="1821" spans="1:6" ht="15" hidden="1" customHeight="1" x14ac:dyDescent="0.3">
      <c r="A1821" t="s">
        <v>218</v>
      </c>
      <c r="B1821" s="2">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9">
        <f t="shared" si="56"/>
        <v>1.0609076406003717</v>
      </c>
      <c r="F1821" t="str">
        <f t="shared" si="57"/>
        <v>Expected</v>
      </c>
    </row>
    <row r="1822" spans="1:6" ht="15" hidden="1" customHeight="1" x14ac:dyDescent="0.3">
      <c r="A1822" t="s">
        <v>218</v>
      </c>
      <c r="B1822" s="2">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9">
        <f t="shared" si="56"/>
        <v>0.92837870983566351</v>
      </c>
      <c r="F1822" t="str">
        <f t="shared" si="57"/>
        <v>Expected</v>
      </c>
    </row>
    <row r="1823" spans="1:6" ht="15" hidden="1" customHeight="1" x14ac:dyDescent="0.3">
      <c r="A1823" t="s">
        <v>218</v>
      </c>
      <c r="B1823" s="2">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9">
        <f t="shared" si="56"/>
        <v>0.94688221709006937</v>
      </c>
      <c r="F1823" t="str">
        <f t="shared" si="57"/>
        <v>Expected</v>
      </c>
    </row>
    <row r="1824" spans="1:6" ht="15" hidden="1" customHeight="1" x14ac:dyDescent="0.3">
      <c r="A1824" t="s">
        <v>218</v>
      </c>
      <c r="B1824" s="2">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9">
        <f t="shared" si="56"/>
        <v>0.80267701551257786</v>
      </c>
      <c r="F1824" t="str">
        <f t="shared" si="57"/>
        <v>Moderate</v>
      </c>
    </row>
    <row r="1825" spans="1:6" ht="15" hidden="1" customHeight="1" x14ac:dyDescent="0.3">
      <c r="A1825" t="s">
        <v>218</v>
      </c>
      <c r="B1825" s="2">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9">
        <f t="shared" si="56"/>
        <v>0.9718961001012284</v>
      </c>
      <c r="F1825" t="str">
        <f t="shared" si="57"/>
        <v>Expected</v>
      </c>
    </row>
    <row r="1826" spans="1:6" ht="15" hidden="1" customHeight="1" x14ac:dyDescent="0.3">
      <c r="A1826" t="s">
        <v>218</v>
      </c>
      <c r="B1826" s="2">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9">
        <f t="shared" si="56"/>
        <v>0.98771912284209828</v>
      </c>
      <c r="F1826" t="str">
        <f t="shared" si="57"/>
        <v>Expected</v>
      </c>
    </row>
    <row r="1827" spans="1:6" ht="15" hidden="1" customHeight="1" x14ac:dyDescent="0.3">
      <c r="A1827" t="s">
        <v>218</v>
      </c>
      <c r="B1827" s="2">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9">
        <f t="shared" si="56"/>
        <v>1.0155555073438483</v>
      </c>
      <c r="F1827" t="str">
        <f t="shared" si="57"/>
        <v>Expected</v>
      </c>
    </row>
    <row r="1828" spans="1:6" ht="15" hidden="1" customHeight="1" x14ac:dyDescent="0.3">
      <c r="A1828" t="s">
        <v>218</v>
      </c>
      <c r="B1828" s="2">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9">
        <f t="shared" si="56"/>
        <v>0.87009397457158655</v>
      </c>
      <c r="F1828" t="str">
        <f t="shared" si="57"/>
        <v>Moderate</v>
      </c>
    </row>
    <row r="1829" spans="1:6" ht="15" hidden="1" customHeight="1" x14ac:dyDescent="0.3">
      <c r="A1829" t="s">
        <v>218</v>
      </c>
      <c r="B1829" s="2">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9">
        <f t="shared" si="56"/>
        <v>0.88464224131788582</v>
      </c>
      <c r="F1829" t="str">
        <f t="shared" si="57"/>
        <v>Moderate</v>
      </c>
    </row>
    <row r="1830" spans="1:6" ht="15" hidden="1" customHeight="1" x14ac:dyDescent="0.3">
      <c r="A1830" t="s">
        <v>218</v>
      </c>
      <c r="B1830" s="2">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9">
        <f t="shared" si="56"/>
        <v>1.0074210925739311</v>
      </c>
      <c r="F1830" t="str">
        <f t="shared" si="57"/>
        <v>Expected</v>
      </c>
    </row>
    <row r="1831" spans="1:6" ht="15" hidden="1" customHeight="1" x14ac:dyDescent="0.3">
      <c r="A1831" t="s">
        <v>218</v>
      </c>
      <c r="B1831" s="2">
        <v>46174</v>
      </c>
      <c r="C1831" cm="1">
        <f t="array" ref="C1831">IFERROR(IF(SUMPRODUCT((measured[Site Name]=A1831)*(measured[Date]=B1831)*ISNUMBER(measured[Measured Value (kWh)]))=0,"",SUMIFS(measured[Measured Value (kWh)],measured[Site Name],A1831,measured[Date],B1831)),"")</f>
        <v>4827</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9">
        <f t="shared" si="56"/>
        <v>0.85143086952840574</v>
      </c>
      <c r="F1831" t="str">
        <f t="shared" si="57"/>
        <v>Moderate</v>
      </c>
    </row>
    <row r="1832" spans="1:6" ht="15" hidden="1" customHeight="1" x14ac:dyDescent="0.3">
      <c r="A1832" t="s">
        <v>218</v>
      </c>
      <c r="B1832" s="2">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9" t="str">
        <f t="shared" si="56"/>
        <v/>
      </c>
      <c r="F1832" t="str">
        <f t="shared" si="57"/>
        <v/>
      </c>
    </row>
    <row r="1833" spans="1:6" ht="15" hidden="1" customHeight="1" x14ac:dyDescent="0.3">
      <c r="A1833" t="s">
        <v>218</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9" t="str">
        <f t="shared" si="56"/>
        <v/>
      </c>
      <c r="F1833" t="str">
        <f t="shared" si="57"/>
        <v/>
      </c>
    </row>
    <row r="1834" spans="1:6" ht="15" hidden="1" customHeight="1" x14ac:dyDescent="0.3">
      <c r="A1834" t="s">
        <v>218</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9" t="str">
        <f t="shared" si="56"/>
        <v/>
      </c>
      <c r="F1834" t="str">
        <f t="shared" si="57"/>
        <v/>
      </c>
    </row>
    <row r="1835" spans="1:6" ht="15" hidden="1" customHeight="1" x14ac:dyDescent="0.3">
      <c r="A1835" t="s">
        <v>218</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9" t="str">
        <f t="shared" si="56"/>
        <v/>
      </c>
      <c r="F1835" t="str">
        <f t="shared" si="57"/>
        <v/>
      </c>
    </row>
    <row r="1836" spans="1:6" ht="15" hidden="1" customHeight="1" x14ac:dyDescent="0.3">
      <c r="A1836" t="s">
        <v>218</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9" t="str">
        <f t="shared" si="56"/>
        <v/>
      </c>
      <c r="F1836" t="str">
        <f t="shared" si="57"/>
        <v/>
      </c>
    </row>
    <row r="1837" spans="1:6" ht="15" hidden="1" customHeight="1" x14ac:dyDescent="0.3">
      <c r="A1837" t="s">
        <v>218</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9" t="str">
        <f t="shared" si="56"/>
        <v/>
      </c>
      <c r="F1837" t="str">
        <f t="shared" si="57"/>
        <v/>
      </c>
    </row>
    <row r="1838" spans="1:6" ht="15" hidden="1" customHeight="1" x14ac:dyDescent="0.3">
      <c r="A1838" t="s">
        <v>163</v>
      </c>
      <c r="B1838" s="2">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9">
        <f t="shared" si="56"/>
        <v>0.33131213954810301</v>
      </c>
      <c r="F1838" t="str">
        <f t="shared" si="57"/>
        <v>Poor</v>
      </c>
    </row>
    <row r="1839" spans="1:6" ht="15" hidden="1" customHeight="1" x14ac:dyDescent="0.3">
      <c r="A1839" t="s">
        <v>163</v>
      </c>
      <c r="B1839" s="2">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9">
        <f t="shared" si="56"/>
        <v>0.40029572963731785</v>
      </c>
      <c r="F1839" t="str">
        <f t="shared" si="57"/>
        <v>Poor</v>
      </c>
    </row>
    <row r="1840" spans="1:6" ht="15" hidden="1" customHeight="1" x14ac:dyDescent="0.3">
      <c r="A1840" t="s">
        <v>163</v>
      </c>
      <c r="B1840" s="2">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9">
        <f t="shared" si="56"/>
        <v>0.4318219616982738</v>
      </c>
      <c r="F1840" t="str">
        <f t="shared" si="57"/>
        <v>Poor</v>
      </c>
    </row>
    <row r="1841" spans="1:6" ht="15" hidden="1" customHeight="1" x14ac:dyDescent="0.3">
      <c r="A1841" t="s">
        <v>163</v>
      </c>
      <c r="B1841" s="2">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9">
        <f t="shared" si="56"/>
        <v>0.31321091733597478</v>
      </c>
      <c r="F1841" t="str">
        <f t="shared" si="57"/>
        <v>Poor</v>
      </c>
    </row>
    <row r="1842" spans="1:6" ht="15" hidden="1" customHeight="1" x14ac:dyDescent="0.3">
      <c r="A1842" t="s">
        <v>163</v>
      </c>
      <c r="B1842" s="2">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9">
        <f t="shared" si="56"/>
        <v>0.36315752862711531</v>
      </c>
      <c r="F1842" t="str">
        <f t="shared" si="57"/>
        <v>Poor</v>
      </c>
    </row>
    <row r="1843" spans="1:6" ht="15" hidden="1" customHeight="1" x14ac:dyDescent="0.3">
      <c r="A1843" t="s">
        <v>163</v>
      </c>
      <c r="B1843" s="2">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9">
        <f t="shared" si="56"/>
        <v>0.26374860415666851</v>
      </c>
      <c r="F1843" t="str">
        <f t="shared" si="57"/>
        <v>Poor</v>
      </c>
    </row>
    <row r="1844" spans="1:6" ht="15" hidden="1" customHeight="1" x14ac:dyDescent="0.3">
      <c r="A1844" t="s">
        <v>163</v>
      </c>
      <c r="B1844" s="2">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9">
        <f t="shared" si="56"/>
        <v>0.55976223102400402</v>
      </c>
      <c r="F1844" t="str">
        <f t="shared" si="57"/>
        <v>Poor</v>
      </c>
    </row>
    <row r="1845" spans="1:6" ht="15" hidden="1" customHeight="1" x14ac:dyDescent="0.3">
      <c r="A1845" t="s">
        <v>163</v>
      </c>
      <c r="B1845" s="2">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9">
        <f t="shared" si="56"/>
        <v>0.1543478280256014</v>
      </c>
      <c r="F1845" t="str">
        <f t="shared" si="57"/>
        <v>Poor</v>
      </c>
    </row>
    <row r="1846" spans="1:6" ht="15" hidden="1" customHeight="1" x14ac:dyDescent="0.3">
      <c r="A1846" t="s">
        <v>163</v>
      </c>
      <c r="B1846" s="2">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9">
        <f t="shared" si="56"/>
        <v>0.34409617393255554</v>
      </c>
      <c r="F1846" t="str">
        <f t="shared" si="57"/>
        <v>Poor</v>
      </c>
    </row>
    <row r="1847" spans="1:6" ht="15" hidden="1" customHeight="1" x14ac:dyDescent="0.3">
      <c r="A1847" t="s">
        <v>163</v>
      </c>
      <c r="B1847" s="2">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9">
        <f t="shared" si="56"/>
        <v>0.37911647998657733</v>
      </c>
      <c r="F1847" t="str">
        <f t="shared" si="57"/>
        <v>Poor</v>
      </c>
    </row>
    <row r="1848" spans="1:6" ht="15" hidden="1" customHeight="1" x14ac:dyDescent="0.3">
      <c r="A1848" t="s">
        <v>163</v>
      </c>
      <c r="B1848" s="2">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9">
        <f t="shared" si="56"/>
        <v>0.38075733548498075</v>
      </c>
      <c r="F1848" t="str">
        <f t="shared" si="57"/>
        <v>Poor</v>
      </c>
    </row>
    <row r="1849" spans="1:6" ht="15" hidden="1" customHeight="1" x14ac:dyDescent="0.3">
      <c r="A1849" t="s">
        <v>163</v>
      </c>
      <c r="B1849" s="2">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9">
        <f t="shared" si="56"/>
        <v>0.31012931376696795</v>
      </c>
      <c r="F1849" t="str">
        <f t="shared" si="57"/>
        <v>Poor</v>
      </c>
    </row>
    <row r="1850" spans="1:6" ht="15" hidden="1" customHeight="1" x14ac:dyDescent="0.3">
      <c r="A1850" t="s">
        <v>163</v>
      </c>
      <c r="B1850" s="2">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9">
        <f t="shared" si="56"/>
        <v>0.45343533517222939</v>
      </c>
      <c r="F1850" t="str">
        <f t="shared" si="57"/>
        <v>Poor</v>
      </c>
    </row>
    <row r="1851" spans="1:6" ht="15" hidden="1" customHeight="1" x14ac:dyDescent="0.3">
      <c r="A1851" t="s">
        <v>163</v>
      </c>
      <c r="B1851" s="2">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9">
        <f t="shared" si="56"/>
        <v>0.37108960344060365</v>
      </c>
      <c r="F1851" t="str">
        <f t="shared" si="57"/>
        <v>Poor</v>
      </c>
    </row>
    <row r="1852" spans="1:6" ht="15" hidden="1" customHeight="1" x14ac:dyDescent="0.3">
      <c r="A1852" t="s">
        <v>163</v>
      </c>
      <c r="B1852" s="2">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9">
        <f t="shared" si="56"/>
        <v>0.33955912447340036</v>
      </c>
      <c r="F1852" t="str">
        <f t="shared" si="57"/>
        <v>Poor</v>
      </c>
    </row>
    <row r="1853" spans="1:6" ht="15" hidden="1" customHeight="1" x14ac:dyDescent="0.3">
      <c r="A1853" t="s">
        <v>163</v>
      </c>
      <c r="B1853" s="2">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9">
        <f t="shared" si="56"/>
        <v>0.33744086055075212</v>
      </c>
      <c r="F1853" t="str">
        <f t="shared" si="57"/>
        <v>Poor</v>
      </c>
    </row>
    <row r="1854" spans="1:6" ht="15" hidden="1" customHeight="1" x14ac:dyDescent="0.3">
      <c r="A1854" t="s">
        <v>163</v>
      </c>
      <c r="B1854" s="2">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9">
        <f t="shared" si="56"/>
        <v>0.53213872316772282</v>
      </c>
      <c r="F1854" t="str">
        <f t="shared" si="57"/>
        <v>Poor</v>
      </c>
    </row>
    <row r="1855" spans="1:6" ht="15" hidden="1" customHeight="1" x14ac:dyDescent="0.3">
      <c r="A1855" t="s">
        <v>163</v>
      </c>
      <c r="B1855" s="2">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9">
        <f t="shared" si="56"/>
        <v>0.57913801279119426</v>
      </c>
      <c r="F1855" t="str">
        <f t="shared" si="57"/>
        <v>Poor</v>
      </c>
    </row>
    <row r="1856" spans="1:6" ht="15" hidden="1" customHeight="1" x14ac:dyDescent="0.3">
      <c r="A1856" t="s">
        <v>163</v>
      </c>
      <c r="B1856" s="2">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9">
        <f t="shared" si="56"/>
        <v>0.5780801731351396</v>
      </c>
      <c r="F1856" t="str">
        <f t="shared" si="57"/>
        <v>Poor</v>
      </c>
    </row>
    <row r="1857" spans="1:6" ht="15" hidden="1" customHeight="1" x14ac:dyDescent="0.3">
      <c r="A1857" t="s">
        <v>163</v>
      </c>
      <c r="B1857" s="2">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9">
        <f t="shared" si="56"/>
        <v>0.52369401599618415</v>
      </c>
      <c r="F1857" t="str">
        <f t="shared" si="57"/>
        <v>Poor</v>
      </c>
    </row>
    <row r="1858" spans="1:6" ht="15" hidden="1" customHeight="1" x14ac:dyDescent="0.3">
      <c r="A1858" t="s">
        <v>163</v>
      </c>
      <c r="B1858" s="2">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9">
        <f t="shared" ref="E1858:E1921" si="58">IF(OR(C1858="",D1858="",D1858=0),"",C1858/D1858)</f>
        <v>0.2810181705881683</v>
      </c>
      <c r="F1858" t="str">
        <f t="shared" ref="F1858:F1921" si="59">IF(E1858="","",IF(E1858&gt;=0.9,"Expected",IF(E1858&gt;=0.7,"Moderate","Poor")))</f>
        <v>Poor</v>
      </c>
    </row>
    <row r="1859" spans="1:6" ht="15" hidden="1" customHeight="1" x14ac:dyDescent="0.3">
      <c r="A1859" t="s">
        <v>163</v>
      </c>
      <c r="B1859" s="2">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9">
        <f t="shared" si="58"/>
        <v>7.0481537375195399E-2</v>
      </c>
      <c r="F1859" t="str">
        <f t="shared" si="59"/>
        <v>Poor</v>
      </c>
    </row>
    <row r="1860" spans="1:6" ht="15" hidden="1" customHeight="1" x14ac:dyDescent="0.3">
      <c r="A1860" t="s">
        <v>163</v>
      </c>
      <c r="B1860" s="2">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9" t="str">
        <f t="shared" si="58"/>
        <v/>
      </c>
      <c r="F1860" t="str">
        <f t="shared" si="59"/>
        <v/>
      </c>
    </row>
    <row r="1861" spans="1:6" ht="15" hidden="1" customHeight="1" x14ac:dyDescent="0.3">
      <c r="A1861" t="s">
        <v>163</v>
      </c>
      <c r="B1861" s="2">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9" t="str">
        <f t="shared" si="58"/>
        <v/>
      </c>
      <c r="F1861" t="str">
        <f t="shared" si="59"/>
        <v/>
      </c>
    </row>
    <row r="1862" spans="1:6" ht="15" hidden="1" customHeight="1" x14ac:dyDescent="0.3">
      <c r="A1862" t="s">
        <v>163</v>
      </c>
      <c r="B1862" s="2">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9" t="str">
        <f t="shared" si="58"/>
        <v/>
      </c>
      <c r="F1862" t="str">
        <f t="shared" si="59"/>
        <v/>
      </c>
    </row>
    <row r="1863" spans="1:6" ht="15" hidden="1" customHeight="1" x14ac:dyDescent="0.3">
      <c r="A1863" t="s">
        <v>163</v>
      </c>
      <c r="B1863" s="2">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9" t="str">
        <f t="shared" si="58"/>
        <v/>
      </c>
      <c r="F1863" t="str">
        <f t="shared" si="59"/>
        <v/>
      </c>
    </row>
    <row r="1864" spans="1:6" ht="15" hidden="1" customHeight="1" x14ac:dyDescent="0.3">
      <c r="A1864" t="s">
        <v>163</v>
      </c>
      <c r="B1864" s="2">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9" t="str">
        <f t="shared" si="58"/>
        <v/>
      </c>
      <c r="F1864" t="str">
        <f t="shared" si="59"/>
        <v/>
      </c>
    </row>
    <row r="1865" spans="1:6" ht="15" hidden="1" customHeight="1" x14ac:dyDescent="0.3">
      <c r="A1865" t="s">
        <v>163</v>
      </c>
      <c r="B1865" s="2">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9" t="str">
        <f t="shared" si="58"/>
        <v/>
      </c>
      <c r="F1865" t="str">
        <f t="shared" si="59"/>
        <v/>
      </c>
    </row>
    <row r="1866" spans="1:6" ht="15" hidden="1" customHeight="1" x14ac:dyDescent="0.3">
      <c r="A1866" t="s">
        <v>163</v>
      </c>
      <c r="B1866" s="2">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9" t="str">
        <f t="shared" si="58"/>
        <v/>
      </c>
      <c r="F1866" t="str">
        <f t="shared" si="59"/>
        <v/>
      </c>
    </row>
    <row r="1867" spans="1:6" ht="15" hidden="1" customHeight="1" x14ac:dyDescent="0.3">
      <c r="A1867" t="s">
        <v>163</v>
      </c>
      <c r="B1867" s="2">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9" t="str">
        <f t="shared" si="58"/>
        <v/>
      </c>
      <c r="F1867" t="str">
        <f t="shared" si="59"/>
        <v/>
      </c>
    </row>
    <row r="1868" spans="1:6" ht="15" hidden="1" customHeight="1" x14ac:dyDescent="0.3">
      <c r="A1868" t="s">
        <v>163</v>
      </c>
      <c r="B1868" s="2">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9" t="str">
        <f t="shared" si="58"/>
        <v/>
      </c>
      <c r="F1868" t="str">
        <f t="shared" si="59"/>
        <v/>
      </c>
    </row>
    <row r="1869" spans="1:6" ht="15" hidden="1" customHeight="1" x14ac:dyDescent="0.3">
      <c r="A1869" t="s">
        <v>163</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9" t="str">
        <f t="shared" si="58"/>
        <v/>
      </c>
      <c r="F1869" t="str">
        <f t="shared" si="59"/>
        <v/>
      </c>
    </row>
    <row r="1870" spans="1:6" ht="15" hidden="1" customHeight="1" x14ac:dyDescent="0.3">
      <c r="A1870" t="s">
        <v>163</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9" t="str">
        <f t="shared" si="58"/>
        <v/>
      </c>
      <c r="F1870" t="str">
        <f t="shared" si="59"/>
        <v/>
      </c>
    </row>
    <row r="1871" spans="1:6" ht="15" hidden="1" customHeight="1" x14ac:dyDescent="0.3">
      <c r="A1871" t="s">
        <v>163</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9" t="str">
        <f t="shared" si="58"/>
        <v/>
      </c>
      <c r="F1871" t="str">
        <f t="shared" si="59"/>
        <v/>
      </c>
    </row>
    <row r="1872" spans="1:6" ht="15" hidden="1" customHeight="1" x14ac:dyDescent="0.3">
      <c r="A1872" t="s">
        <v>163</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9" t="str">
        <f t="shared" si="58"/>
        <v/>
      </c>
      <c r="F1872" t="str">
        <f t="shared" si="59"/>
        <v/>
      </c>
    </row>
    <row r="1873" spans="1:6" ht="15" hidden="1" customHeight="1" x14ac:dyDescent="0.3">
      <c r="A1873" t="s">
        <v>163</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9" t="str">
        <f t="shared" si="58"/>
        <v/>
      </c>
      <c r="F1873" t="str">
        <f t="shared" si="59"/>
        <v/>
      </c>
    </row>
    <row r="1874" spans="1:6" ht="15" hidden="1" customHeight="1" x14ac:dyDescent="0.3">
      <c r="A1874" t="s">
        <v>166</v>
      </c>
      <c r="B1874" s="2">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9">
        <f t="shared" si="58"/>
        <v>0.78015109233323776</v>
      </c>
      <c r="F1874" t="str">
        <f t="shared" si="59"/>
        <v>Moderate</v>
      </c>
    </row>
    <row r="1875" spans="1:6" ht="15" hidden="1" customHeight="1" x14ac:dyDescent="0.3">
      <c r="A1875" t="s">
        <v>166</v>
      </c>
      <c r="B1875" s="2">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9">
        <f t="shared" si="58"/>
        <v>0.85246528092034468</v>
      </c>
      <c r="F1875" t="str">
        <f t="shared" si="59"/>
        <v>Moderate</v>
      </c>
    </row>
    <row r="1876" spans="1:6" ht="15" hidden="1" customHeight="1" x14ac:dyDescent="0.3">
      <c r="A1876" t="s">
        <v>166</v>
      </c>
      <c r="B1876" s="2">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9">
        <f t="shared" si="58"/>
        <v>0.75152144601144277</v>
      </c>
      <c r="F1876" t="str">
        <f t="shared" si="59"/>
        <v>Moderate</v>
      </c>
    </row>
    <row r="1877" spans="1:6" ht="15" hidden="1" customHeight="1" x14ac:dyDescent="0.3">
      <c r="A1877" t="s">
        <v>166</v>
      </c>
      <c r="B1877" s="2">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9">
        <f t="shared" si="58"/>
        <v>0.63019077330572693</v>
      </c>
      <c r="F1877" t="str">
        <f t="shared" si="59"/>
        <v>Poor</v>
      </c>
    </row>
    <row r="1878" spans="1:6" ht="15" hidden="1" customHeight="1" x14ac:dyDescent="0.3">
      <c r="A1878" t="s">
        <v>166</v>
      </c>
      <c r="B1878" s="2">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9">
        <f t="shared" si="58"/>
        <v>0.65370281753454851</v>
      </c>
      <c r="F1878" t="str">
        <f t="shared" si="59"/>
        <v>Poor</v>
      </c>
    </row>
    <row r="1879" spans="1:6" ht="15" hidden="1" customHeight="1" x14ac:dyDescent="0.3">
      <c r="A1879" t="s">
        <v>166</v>
      </c>
      <c r="B1879" s="2">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9">
        <f t="shared" si="58"/>
        <v>0.60859585331059407</v>
      </c>
      <c r="F1879" t="str">
        <f t="shared" si="59"/>
        <v>Poor</v>
      </c>
    </row>
    <row r="1880" spans="1:6" ht="15" hidden="1" customHeight="1" x14ac:dyDescent="0.3">
      <c r="A1880" t="s">
        <v>166</v>
      </c>
      <c r="B1880" s="2">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9">
        <f t="shared" si="58"/>
        <v>0.62226501408565504</v>
      </c>
      <c r="F1880" t="str">
        <f t="shared" si="59"/>
        <v>Poor</v>
      </c>
    </row>
    <row r="1881" spans="1:6" ht="15" hidden="1" customHeight="1" x14ac:dyDescent="0.3">
      <c r="A1881" t="s">
        <v>166</v>
      </c>
      <c r="B1881" s="2">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9">
        <f t="shared" si="58"/>
        <v>0.5494682285008653</v>
      </c>
      <c r="F1881" t="str">
        <f t="shared" si="59"/>
        <v>Poor</v>
      </c>
    </row>
    <row r="1882" spans="1:6" ht="15" hidden="1" customHeight="1" x14ac:dyDescent="0.3">
      <c r="A1882" t="s">
        <v>166</v>
      </c>
      <c r="B1882" s="2">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9">
        <f t="shared" si="58"/>
        <v>0.57300144242857332</v>
      </c>
      <c r="F1882" t="str">
        <f t="shared" si="59"/>
        <v>Poor</v>
      </c>
    </row>
    <row r="1883" spans="1:6" ht="15" hidden="1" customHeight="1" x14ac:dyDescent="0.3">
      <c r="A1883" t="s">
        <v>166</v>
      </c>
      <c r="B1883" s="2">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9">
        <f t="shared" si="58"/>
        <v>0.47710417091923524</v>
      </c>
      <c r="F1883" t="str">
        <f t="shared" si="59"/>
        <v>Poor</v>
      </c>
    </row>
    <row r="1884" spans="1:6" ht="15" hidden="1" customHeight="1" x14ac:dyDescent="0.3">
      <c r="A1884" t="s">
        <v>166</v>
      </c>
      <c r="B1884" s="2">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9">
        <f t="shared" si="58"/>
        <v>0.26642372159219679</v>
      </c>
      <c r="F1884" t="str">
        <f t="shared" si="59"/>
        <v>Poor</v>
      </c>
    </row>
    <row r="1885" spans="1:6" ht="15" hidden="1" customHeight="1" x14ac:dyDescent="0.3">
      <c r="A1885" t="s">
        <v>166</v>
      </c>
      <c r="B1885" s="2">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9">
        <f t="shared" si="58"/>
        <v>0.74982642906734542</v>
      </c>
      <c r="F1885" t="str">
        <f t="shared" si="59"/>
        <v>Moderate</v>
      </c>
    </row>
    <row r="1886" spans="1:6" ht="15" hidden="1" customHeight="1" x14ac:dyDescent="0.3">
      <c r="A1886" t="s">
        <v>166</v>
      </c>
      <c r="B1886" s="2">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9">
        <f t="shared" si="58"/>
        <v>0.69660694259708422</v>
      </c>
      <c r="F1886" t="str">
        <f t="shared" si="59"/>
        <v>Poor</v>
      </c>
    </row>
    <row r="1887" spans="1:6" ht="15" hidden="1" customHeight="1" x14ac:dyDescent="0.3">
      <c r="A1887" t="s">
        <v>166</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9">
        <f t="shared" si="58"/>
        <v>0.68829758349171866</v>
      </c>
      <c r="F1887" t="str">
        <f t="shared" si="59"/>
        <v>Poor</v>
      </c>
    </row>
    <row r="1888" spans="1:6" ht="15" hidden="1" customHeight="1" x14ac:dyDescent="0.3">
      <c r="A1888" t="s">
        <v>166</v>
      </c>
      <c r="B1888" s="2">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9">
        <f t="shared" si="58"/>
        <v>0.54639954812142422</v>
      </c>
      <c r="F1888" t="str">
        <f t="shared" si="59"/>
        <v>Poor</v>
      </c>
    </row>
    <row r="1889" spans="1:6" ht="15" hidden="1" customHeight="1" x14ac:dyDescent="0.3">
      <c r="A1889" t="s">
        <v>166</v>
      </c>
      <c r="B1889" s="2">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9">
        <f t="shared" si="58"/>
        <v>0.31150468889168687</v>
      </c>
      <c r="F1889" t="str">
        <f t="shared" si="59"/>
        <v>Poor</v>
      </c>
    </row>
    <row r="1890" spans="1:6" ht="15" hidden="1" customHeight="1" x14ac:dyDescent="0.3">
      <c r="A1890" t="s">
        <v>166</v>
      </c>
      <c r="B1890" s="2">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9">
        <f t="shared" si="58"/>
        <v>0.57679944703044717</v>
      </c>
      <c r="F1890" t="str">
        <f t="shared" si="59"/>
        <v>Poor</v>
      </c>
    </row>
    <row r="1891" spans="1:6" ht="15" hidden="1" customHeight="1" x14ac:dyDescent="0.3">
      <c r="A1891" t="s">
        <v>166</v>
      </c>
      <c r="B1891" s="2">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9">
        <f t="shared" si="58"/>
        <v>0.52542930999345705</v>
      </c>
      <c r="F1891" t="str">
        <f t="shared" si="59"/>
        <v>Poor</v>
      </c>
    </row>
    <row r="1892" spans="1:6" ht="15" hidden="1" customHeight="1" x14ac:dyDescent="0.3">
      <c r="A1892" t="s">
        <v>166</v>
      </c>
      <c r="B1892" s="2">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9">
        <f t="shared" si="58"/>
        <v>0.46533094921522772</v>
      </c>
      <c r="F1892" t="str">
        <f t="shared" si="59"/>
        <v>Poor</v>
      </c>
    </row>
    <row r="1893" spans="1:6" ht="15" hidden="1" customHeight="1" x14ac:dyDescent="0.3">
      <c r="A1893" t="s">
        <v>166</v>
      </c>
      <c r="B1893" s="2">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9">
        <f t="shared" si="58"/>
        <v>0.67617159305349028</v>
      </c>
      <c r="F1893" t="str">
        <f t="shared" si="59"/>
        <v>Poor</v>
      </c>
    </row>
    <row r="1894" spans="1:6" ht="15" hidden="1" customHeight="1" x14ac:dyDescent="0.3">
      <c r="A1894" t="s">
        <v>166</v>
      </c>
      <c r="B1894" s="2">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9">
        <f t="shared" si="58"/>
        <v>0.65698872082611015</v>
      </c>
      <c r="F1894" t="str">
        <f t="shared" si="59"/>
        <v>Poor</v>
      </c>
    </row>
    <row r="1895" spans="1:6" ht="15" hidden="1" customHeight="1" x14ac:dyDescent="0.3">
      <c r="A1895" t="s">
        <v>166</v>
      </c>
      <c r="B1895" s="2">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9">
        <f t="shared" si="58"/>
        <v>0.77870767276768504</v>
      </c>
      <c r="F1895" t="str">
        <f t="shared" si="59"/>
        <v>Moderate</v>
      </c>
    </row>
    <row r="1896" spans="1:6" ht="15" hidden="1" customHeight="1" x14ac:dyDescent="0.3">
      <c r="A1896" t="s">
        <v>166</v>
      </c>
      <c r="B1896" s="2">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9">
        <f t="shared" si="58"/>
        <v>0.6543653059929474</v>
      </c>
      <c r="F1896" t="str">
        <f t="shared" si="59"/>
        <v>Poor</v>
      </c>
    </row>
    <row r="1897" spans="1:6" ht="15" hidden="1" customHeight="1" x14ac:dyDescent="0.3">
      <c r="A1897" t="s">
        <v>166</v>
      </c>
      <c r="B1897" s="2">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9">
        <f t="shared" si="58"/>
        <v>0.63089819743372155</v>
      </c>
      <c r="F1897" t="str">
        <f t="shared" si="59"/>
        <v>Poor</v>
      </c>
    </row>
    <row r="1898" spans="1:6" ht="15" hidden="1" customHeight="1" x14ac:dyDescent="0.3">
      <c r="A1898" t="s">
        <v>166</v>
      </c>
      <c r="B1898" s="2">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9">
        <f t="shared" si="58"/>
        <v>0.70108407445079068</v>
      </c>
      <c r="F1898" t="str">
        <f t="shared" si="59"/>
        <v>Moderate</v>
      </c>
    </row>
    <row r="1899" spans="1:6" ht="15" hidden="1" customHeight="1" x14ac:dyDescent="0.3">
      <c r="A1899" t="s">
        <v>166</v>
      </c>
      <c r="B1899" s="2">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9">
        <f t="shared" si="58"/>
        <v>0.79951931295944323</v>
      </c>
      <c r="F1899" t="str">
        <f t="shared" si="59"/>
        <v>Moderate</v>
      </c>
    </row>
    <row r="1900" spans="1:6" ht="15" hidden="1" customHeight="1" x14ac:dyDescent="0.3">
      <c r="A1900" t="s">
        <v>166</v>
      </c>
      <c r="B1900" s="2">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9">
        <f t="shared" si="58"/>
        <v>0.63508982908786127</v>
      </c>
      <c r="F1900" t="str">
        <f t="shared" si="59"/>
        <v>Poor</v>
      </c>
    </row>
    <row r="1901" spans="1:6" ht="15" hidden="1" customHeight="1" x14ac:dyDescent="0.3">
      <c r="A1901" t="s">
        <v>166</v>
      </c>
      <c r="B1901" s="2">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9">
        <f t="shared" si="58"/>
        <v>0.57080716087724948</v>
      </c>
      <c r="F1901" t="str">
        <f t="shared" si="59"/>
        <v>Poor</v>
      </c>
    </row>
    <row r="1902" spans="1:6" ht="15" hidden="1" customHeight="1" x14ac:dyDescent="0.3">
      <c r="A1902" t="s">
        <v>166</v>
      </c>
      <c r="B1902" s="2">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9">
        <f t="shared" si="58"/>
        <v>0.59708192553278916</v>
      </c>
      <c r="F1902" t="str">
        <f t="shared" si="59"/>
        <v>Poor</v>
      </c>
    </row>
    <row r="1903" spans="1:6" ht="15" hidden="1" customHeight="1" x14ac:dyDescent="0.3">
      <c r="A1903" t="s">
        <v>166</v>
      </c>
      <c r="B1903" s="2">
        <v>46174</v>
      </c>
      <c r="C1903" cm="1">
        <f t="array" ref="C1903">IFERROR(IF(SUMPRODUCT((measured[Site Name]=A1903)*(measured[Date]=B1903)*ISNUMBER(measured[Measured Value (kWh)]))=0,"",SUMIFS(measured[Measured Value (kWh)],measured[Site Name],A1903,measured[Date],B1903)),"")</f>
        <v>11089</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9">
        <f t="shared" si="58"/>
        <v>0.59470562366594804</v>
      </c>
      <c r="F1903" t="str">
        <f t="shared" si="59"/>
        <v>Poor</v>
      </c>
    </row>
    <row r="1904" spans="1:6" ht="15" hidden="1" customHeight="1" x14ac:dyDescent="0.3">
      <c r="A1904" t="s">
        <v>166</v>
      </c>
      <c r="B1904" s="2">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9" t="str">
        <f t="shared" si="58"/>
        <v/>
      </c>
      <c r="F1904" t="str">
        <f t="shared" si="59"/>
        <v/>
      </c>
    </row>
    <row r="1905" spans="1:6" ht="15" hidden="1" customHeight="1" x14ac:dyDescent="0.3">
      <c r="A1905" t="s">
        <v>166</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9" t="str">
        <f t="shared" si="58"/>
        <v/>
      </c>
      <c r="F1905" t="str">
        <f t="shared" si="59"/>
        <v/>
      </c>
    </row>
    <row r="1906" spans="1:6" ht="15" hidden="1" customHeight="1" x14ac:dyDescent="0.3">
      <c r="A1906" t="s">
        <v>166</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9" t="str">
        <f t="shared" si="58"/>
        <v/>
      </c>
      <c r="F1906" t="str">
        <f t="shared" si="59"/>
        <v/>
      </c>
    </row>
    <row r="1907" spans="1:6" ht="15" hidden="1" customHeight="1" x14ac:dyDescent="0.3">
      <c r="A1907" t="s">
        <v>166</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9" t="str">
        <f t="shared" si="58"/>
        <v/>
      </c>
      <c r="F1907" t="str">
        <f t="shared" si="59"/>
        <v/>
      </c>
    </row>
    <row r="1908" spans="1:6" ht="15" hidden="1" customHeight="1" x14ac:dyDescent="0.3">
      <c r="A1908" t="s">
        <v>166</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9" t="str">
        <f t="shared" si="58"/>
        <v/>
      </c>
      <c r="F1908" t="str">
        <f t="shared" si="59"/>
        <v/>
      </c>
    </row>
    <row r="1909" spans="1:6" ht="15" hidden="1" customHeight="1" x14ac:dyDescent="0.3">
      <c r="A1909" t="s">
        <v>166</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9" t="str">
        <f t="shared" si="58"/>
        <v/>
      </c>
      <c r="F1909" t="str">
        <f t="shared" si="59"/>
        <v/>
      </c>
    </row>
    <row r="1910" spans="1:6" ht="15" hidden="1" customHeight="1" x14ac:dyDescent="0.3">
      <c r="A1910" t="s">
        <v>169</v>
      </c>
      <c r="B1910" s="2">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9">
        <f t="shared" si="58"/>
        <v>0.43041238281917088</v>
      </c>
      <c r="F1910" t="str">
        <f t="shared" si="59"/>
        <v>Poor</v>
      </c>
    </row>
    <row r="1911" spans="1:6" ht="15" hidden="1" customHeight="1" x14ac:dyDescent="0.3">
      <c r="A1911" t="s">
        <v>169</v>
      </c>
      <c r="B1911" s="2">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9">
        <f t="shared" si="58"/>
        <v>0.51494874142116753</v>
      </c>
      <c r="F1911" t="str">
        <f t="shared" si="59"/>
        <v>Poor</v>
      </c>
    </row>
    <row r="1912" spans="1:6" ht="15" hidden="1" customHeight="1" x14ac:dyDescent="0.3">
      <c r="A1912" t="s">
        <v>169</v>
      </c>
      <c r="B1912" s="2">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9">
        <f t="shared" si="58"/>
        <v>0.54030501089324623</v>
      </c>
      <c r="F1912" t="str">
        <f t="shared" si="59"/>
        <v>Poor</v>
      </c>
    </row>
    <row r="1913" spans="1:6" ht="15" hidden="1" customHeight="1" x14ac:dyDescent="0.3">
      <c r="A1913" t="s">
        <v>169</v>
      </c>
      <c r="B1913" s="2">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9">
        <f t="shared" si="58"/>
        <v>0.42377212351691929</v>
      </c>
      <c r="F1913" t="str">
        <f t="shared" si="59"/>
        <v>Poor</v>
      </c>
    </row>
    <row r="1914" spans="1:6" ht="15" hidden="1" customHeight="1" x14ac:dyDescent="0.3">
      <c r="A1914" t="s">
        <v>169</v>
      </c>
      <c r="B1914" s="2">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9">
        <f t="shared" si="58"/>
        <v>0.28793676155236936</v>
      </c>
      <c r="F1914" t="str">
        <f t="shared" si="59"/>
        <v>Poor</v>
      </c>
    </row>
    <row r="1915" spans="1:6" ht="15" hidden="1" customHeight="1" x14ac:dyDescent="0.3">
      <c r="A1915" t="s">
        <v>169</v>
      </c>
      <c r="B1915" s="2">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9">
        <f t="shared" si="58"/>
        <v>0.40542205331710651</v>
      </c>
      <c r="F1915" t="str">
        <f t="shared" si="59"/>
        <v>Poor</v>
      </c>
    </row>
    <row r="1916" spans="1:6" ht="15" hidden="1" customHeight="1" x14ac:dyDescent="0.3">
      <c r="A1916" t="s">
        <v>169</v>
      </c>
      <c r="B1916" s="2">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9">
        <f t="shared" si="58"/>
        <v>0.43703053360647742</v>
      </c>
      <c r="F1916" t="str">
        <f t="shared" si="59"/>
        <v>Poor</v>
      </c>
    </row>
    <row r="1917" spans="1:6" ht="15" hidden="1" customHeight="1" x14ac:dyDescent="0.3">
      <c r="A1917" t="s">
        <v>169</v>
      </c>
      <c r="B1917" s="2">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9">
        <f t="shared" si="58"/>
        <v>0.30474749385284661</v>
      </c>
      <c r="F1917" t="str">
        <f t="shared" si="59"/>
        <v>Poor</v>
      </c>
    </row>
    <row r="1918" spans="1:6" ht="15" hidden="1" customHeight="1" x14ac:dyDescent="0.3">
      <c r="A1918" t="s">
        <v>169</v>
      </c>
      <c r="B1918" s="2">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9">
        <f t="shared" si="58"/>
        <v>0.37410677400480069</v>
      </c>
      <c r="F1918" t="str">
        <f t="shared" si="59"/>
        <v>Poor</v>
      </c>
    </row>
    <row r="1919" spans="1:6" ht="15" hidden="1" customHeight="1" x14ac:dyDescent="0.3">
      <c r="A1919" t="s">
        <v>169</v>
      </c>
      <c r="B1919" s="2">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9">
        <f t="shared" si="58"/>
        <v>0.43813648471963523</v>
      </c>
      <c r="F1919" t="str">
        <f t="shared" si="59"/>
        <v>Poor</v>
      </c>
    </row>
    <row r="1920" spans="1:6" ht="15" hidden="1" customHeight="1" x14ac:dyDescent="0.3">
      <c r="A1920" t="s">
        <v>169</v>
      </c>
      <c r="B1920" s="2">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9">
        <f t="shared" si="58"/>
        <v>0.54551728810781763</v>
      </c>
      <c r="F1920" t="str">
        <f t="shared" si="59"/>
        <v>Poor</v>
      </c>
    </row>
    <row r="1921" spans="1:6" ht="15" hidden="1" customHeight="1" x14ac:dyDescent="0.3">
      <c r="A1921" t="s">
        <v>169</v>
      </c>
      <c r="B1921" s="2">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9">
        <f t="shared" si="58"/>
        <v>0.42275545326211883</v>
      </c>
      <c r="F1921" t="str">
        <f t="shared" si="59"/>
        <v>Poor</v>
      </c>
    </row>
    <row r="1922" spans="1:6" ht="15" hidden="1" customHeight="1" x14ac:dyDescent="0.3">
      <c r="A1922" t="s">
        <v>169</v>
      </c>
      <c r="B1922" s="2">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9">
        <f t="shared" ref="E1922:E1985" si="60">IF(OR(C1922="",D1922="",D1922=0),"",C1922/D1922)</f>
        <v>0.45126803900914475</v>
      </c>
      <c r="F1922" t="str">
        <f t="shared" ref="F1922:F1985" si="61">IF(E1922="","",IF(E1922&gt;=0.9,"Expected",IF(E1922&gt;=0.7,"Moderate","Poor")))</f>
        <v>Poor</v>
      </c>
    </row>
    <row r="1923" spans="1:6" ht="15" hidden="1" customHeight="1" x14ac:dyDescent="0.3">
      <c r="A1923" t="s">
        <v>169</v>
      </c>
      <c r="B1923" s="2">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9">
        <f t="shared" si="60"/>
        <v>0.47920688792075888</v>
      </c>
      <c r="F1923" t="str">
        <f t="shared" si="61"/>
        <v>Poor</v>
      </c>
    </row>
    <row r="1924" spans="1:6" ht="15" hidden="1" customHeight="1" x14ac:dyDescent="0.3">
      <c r="A1924" t="s">
        <v>169</v>
      </c>
      <c r="B1924" s="2">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9">
        <f t="shared" si="60"/>
        <v>0.30421865715983365</v>
      </c>
      <c r="F1924" t="str">
        <f t="shared" si="61"/>
        <v>Poor</v>
      </c>
    </row>
    <row r="1925" spans="1:6" ht="15" hidden="1" customHeight="1" x14ac:dyDescent="0.3">
      <c r="A1925" t="s">
        <v>169</v>
      </c>
      <c r="B1925" s="2">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9">
        <f t="shared" si="60"/>
        <v>0.22518978079689278</v>
      </c>
      <c r="F1925" t="str">
        <f t="shared" si="61"/>
        <v>Poor</v>
      </c>
    </row>
    <row r="1926" spans="1:6" ht="15" hidden="1" customHeight="1" x14ac:dyDescent="0.3">
      <c r="A1926" t="s">
        <v>169</v>
      </c>
      <c r="B1926" s="2">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9">
        <f t="shared" si="60"/>
        <v>0.19509733843501662</v>
      </c>
      <c r="F1926" t="str">
        <f t="shared" si="61"/>
        <v>Poor</v>
      </c>
    </row>
    <row r="1927" spans="1:6" ht="15" hidden="1" customHeight="1" x14ac:dyDescent="0.3">
      <c r="A1927" t="s">
        <v>169</v>
      </c>
      <c r="B1927" s="2">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9">
        <f t="shared" si="60"/>
        <v>0.16769391008291365</v>
      </c>
      <c r="F1927" t="str">
        <f t="shared" si="61"/>
        <v>Poor</v>
      </c>
    </row>
    <row r="1928" spans="1:6" ht="15" hidden="1" customHeight="1" x14ac:dyDescent="0.3">
      <c r="A1928" t="s">
        <v>169</v>
      </c>
      <c r="B1928" s="2">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9">
        <f t="shared" si="60"/>
        <v>0.20397123118808808</v>
      </c>
      <c r="F1928" t="str">
        <f t="shared" si="61"/>
        <v>Poor</v>
      </c>
    </row>
    <row r="1929" spans="1:6" ht="15" hidden="1" customHeight="1" x14ac:dyDescent="0.3">
      <c r="A1929" t="s">
        <v>169</v>
      </c>
      <c r="B1929" s="2">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9">
        <f t="shared" si="60"/>
        <v>0.43487800264800452</v>
      </c>
      <c r="F1929" t="str">
        <f t="shared" si="61"/>
        <v>Poor</v>
      </c>
    </row>
    <row r="1930" spans="1:6" ht="15" hidden="1" customHeight="1" x14ac:dyDescent="0.3">
      <c r="A1930" t="s">
        <v>169</v>
      </c>
      <c r="B1930" s="2">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9">
        <f t="shared" si="60"/>
        <v>0.38608556233500368</v>
      </c>
      <c r="F1930" t="str">
        <f t="shared" si="61"/>
        <v>Poor</v>
      </c>
    </row>
    <row r="1931" spans="1:6" ht="15" hidden="1" customHeight="1" x14ac:dyDescent="0.3">
      <c r="A1931" t="s">
        <v>169</v>
      </c>
      <c r="B1931" s="2">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9">
        <f t="shared" si="60"/>
        <v>0.50973978351830851</v>
      </c>
      <c r="F1931" t="str">
        <f t="shared" si="61"/>
        <v>Poor</v>
      </c>
    </row>
    <row r="1932" spans="1:6" ht="15" hidden="1" customHeight="1" x14ac:dyDescent="0.3">
      <c r="A1932" t="s">
        <v>169</v>
      </c>
      <c r="B1932" s="2">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9">
        <f t="shared" si="60"/>
        <v>0.46105822790394985</v>
      </c>
      <c r="F1932" t="str">
        <f t="shared" si="61"/>
        <v>Poor</v>
      </c>
    </row>
    <row r="1933" spans="1:6" ht="15" hidden="1" customHeight="1" x14ac:dyDescent="0.3">
      <c r="A1933" t="s">
        <v>169</v>
      </c>
      <c r="B1933" s="2">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9">
        <f t="shared" si="60"/>
        <v>0.54737589011935839</v>
      </c>
      <c r="F1933" t="str">
        <f t="shared" si="61"/>
        <v>Poor</v>
      </c>
    </row>
    <row r="1934" spans="1:6" ht="15" hidden="1" customHeight="1" x14ac:dyDescent="0.3">
      <c r="A1934" t="s">
        <v>169</v>
      </c>
      <c r="B1934" s="2">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9">
        <f t="shared" si="60"/>
        <v>0.4947928867099598</v>
      </c>
      <c r="F1934" t="str">
        <f t="shared" si="61"/>
        <v>Poor</v>
      </c>
    </row>
    <row r="1935" spans="1:6" ht="15" hidden="1" customHeight="1" x14ac:dyDescent="0.3">
      <c r="A1935" t="s">
        <v>169</v>
      </c>
      <c r="B1935" s="2">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9">
        <f t="shared" si="60"/>
        <v>0.63047089279369328</v>
      </c>
      <c r="F1935" t="str">
        <f t="shared" si="61"/>
        <v>Poor</v>
      </c>
    </row>
    <row r="1936" spans="1:6" ht="15" hidden="1" customHeight="1" x14ac:dyDescent="0.3">
      <c r="A1936" t="s">
        <v>169</v>
      </c>
      <c r="B1936" s="2">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9">
        <f t="shared" si="60"/>
        <v>0.48041196276490394</v>
      </c>
      <c r="F1936" t="str">
        <f t="shared" si="61"/>
        <v>Poor</v>
      </c>
    </row>
    <row r="1937" spans="1:6" ht="15" hidden="1" customHeight="1" x14ac:dyDescent="0.3">
      <c r="A1937" t="s">
        <v>169</v>
      </c>
      <c r="B1937" s="2">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9">
        <f t="shared" si="60"/>
        <v>0.43911682774441935</v>
      </c>
      <c r="F1937" t="str">
        <f t="shared" si="61"/>
        <v>Poor</v>
      </c>
    </row>
    <row r="1938" spans="1:6" ht="15" hidden="1" customHeight="1" x14ac:dyDescent="0.3">
      <c r="A1938" t="s">
        <v>169</v>
      </c>
      <c r="B1938" s="2">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9">
        <f t="shared" si="60"/>
        <v>0.43799016103939786</v>
      </c>
      <c r="F1938" t="str">
        <f t="shared" si="61"/>
        <v>Poor</v>
      </c>
    </row>
    <row r="1939" spans="1:6" ht="15" hidden="1" customHeight="1" x14ac:dyDescent="0.3">
      <c r="A1939" t="s">
        <v>169</v>
      </c>
      <c r="B1939" s="2">
        <v>46174</v>
      </c>
      <c r="C1939" cm="1">
        <f t="array" ref="C1939">IFERROR(IF(SUMPRODUCT((measured[Site Name]=A1939)*(measured[Date]=B1939)*ISNUMBER(measured[Measured Value (kWh)]))=0,"",SUMIFS(measured[Measured Value (kWh)],measured[Site Name],A1939,measured[Date],B1939)),"")</f>
        <v>1100</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9">
        <f t="shared" si="60"/>
        <v>0.41064848862690345</v>
      </c>
      <c r="F1939" t="str">
        <f t="shared" si="61"/>
        <v>Poor</v>
      </c>
    </row>
    <row r="1940" spans="1:6" ht="15" hidden="1" customHeight="1" x14ac:dyDescent="0.3">
      <c r="A1940" t="s">
        <v>169</v>
      </c>
      <c r="B1940" s="2">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9" t="str">
        <f t="shared" si="60"/>
        <v/>
      </c>
      <c r="F1940" t="str">
        <f t="shared" si="61"/>
        <v/>
      </c>
    </row>
    <row r="1941" spans="1:6" ht="15" hidden="1" customHeight="1" x14ac:dyDescent="0.3">
      <c r="A1941" t="s">
        <v>169</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9" t="str">
        <f t="shared" si="60"/>
        <v/>
      </c>
      <c r="F1941" t="str">
        <f t="shared" si="61"/>
        <v/>
      </c>
    </row>
    <row r="1942" spans="1:6" ht="15" hidden="1" customHeight="1" x14ac:dyDescent="0.3">
      <c r="A1942" t="s">
        <v>169</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9" t="str">
        <f t="shared" si="60"/>
        <v/>
      </c>
      <c r="F1942" t="str">
        <f t="shared" si="61"/>
        <v/>
      </c>
    </row>
    <row r="1943" spans="1:6" ht="15" hidden="1" customHeight="1" x14ac:dyDescent="0.3">
      <c r="A1943" t="s">
        <v>169</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9" t="str">
        <f t="shared" si="60"/>
        <v/>
      </c>
      <c r="F1943" t="str">
        <f t="shared" si="61"/>
        <v/>
      </c>
    </row>
    <row r="1944" spans="1:6" ht="15" hidden="1" customHeight="1" x14ac:dyDescent="0.3">
      <c r="A1944" t="s">
        <v>169</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9" t="str">
        <f t="shared" si="60"/>
        <v/>
      </c>
      <c r="F1944" t="str">
        <f t="shared" si="61"/>
        <v/>
      </c>
    </row>
    <row r="1945" spans="1:6" ht="15" hidden="1" customHeight="1" x14ac:dyDescent="0.3">
      <c r="A1945" t="s">
        <v>169</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9" t="str">
        <f t="shared" si="60"/>
        <v/>
      </c>
      <c r="F1945" t="str">
        <f t="shared" si="61"/>
        <v/>
      </c>
    </row>
    <row r="1946" spans="1:6" ht="15" hidden="1" customHeight="1" x14ac:dyDescent="0.3">
      <c r="A1946" t="s">
        <v>171</v>
      </c>
      <c r="B1946" s="2">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9">
        <f t="shared" si="60"/>
        <v>0.66783804547079539</v>
      </c>
      <c r="F1946" t="str">
        <f t="shared" si="61"/>
        <v>Poor</v>
      </c>
    </row>
    <row r="1947" spans="1:6" ht="15" hidden="1" customHeight="1" x14ac:dyDescent="0.3">
      <c r="A1947" t="s">
        <v>171</v>
      </c>
      <c r="B1947" s="2">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9">
        <f t="shared" si="60"/>
        <v>0.74059841749489086</v>
      </c>
      <c r="F1947" t="str">
        <f t="shared" si="61"/>
        <v>Moderate</v>
      </c>
    </row>
    <row r="1948" spans="1:6" ht="15" hidden="1" customHeight="1" x14ac:dyDescent="0.3">
      <c r="A1948" t="s">
        <v>171</v>
      </c>
      <c r="B1948" s="2">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9">
        <f t="shared" si="60"/>
        <v>0.69631575735579876</v>
      </c>
      <c r="F1948" t="str">
        <f t="shared" si="61"/>
        <v>Poor</v>
      </c>
    </row>
    <row r="1949" spans="1:6" ht="15" hidden="1" customHeight="1" x14ac:dyDescent="0.3">
      <c r="A1949" t="s">
        <v>171</v>
      </c>
      <c r="B1949" s="2">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9">
        <f t="shared" si="60"/>
        <v>0.77027114206455727</v>
      </c>
      <c r="F1949" t="str">
        <f t="shared" si="61"/>
        <v>Moderate</v>
      </c>
    </row>
    <row r="1950" spans="1:6" ht="15" hidden="1" customHeight="1" x14ac:dyDescent="0.3">
      <c r="A1950" t="s">
        <v>171</v>
      </c>
      <c r="B1950" s="2">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9">
        <f t="shared" si="60"/>
        <v>0.88530322810149775</v>
      </c>
      <c r="F1950" t="str">
        <f t="shared" si="61"/>
        <v>Moderate</v>
      </c>
    </row>
    <row r="1951" spans="1:6" ht="15" hidden="1" customHeight="1" x14ac:dyDescent="0.3">
      <c r="A1951" t="s">
        <v>171</v>
      </c>
      <c r="B1951" s="2">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9">
        <f t="shared" si="60"/>
        <v>0.77317278508802789</v>
      </c>
      <c r="F1951" t="str">
        <f t="shared" si="61"/>
        <v>Moderate</v>
      </c>
    </row>
    <row r="1952" spans="1:6" ht="15" hidden="1" customHeight="1" x14ac:dyDescent="0.3">
      <c r="A1952" t="s">
        <v>171</v>
      </c>
      <c r="B1952" s="2">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9">
        <f t="shared" si="60"/>
        <v>0.89328858183907744</v>
      </c>
      <c r="F1952" t="str">
        <f t="shared" si="61"/>
        <v>Moderate</v>
      </c>
    </row>
    <row r="1953" spans="1:6" ht="15" hidden="1" customHeight="1" x14ac:dyDescent="0.3">
      <c r="A1953" t="s">
        <v>171</v>
      </c>
      <c r="B1953" s="2">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9">
        <f t="shared" si="60"/>
        <v>0.78506520522622114</v>
      </c>
      <c r="F1953" t="str">
        <f t="shared" si="61"/>
        <v>Moderate</v>
      </c>
    </row>
    <row r="1954" spans="1:6" ht="15" hidden="1" customHeight="1" x14ac:dyDescent="0.3">
      <c r="A1954" t="s">
        <v>171</v>
      </c>
      <c r="B1954" s="2">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9">
        <f t="shared" si="60"/>
        <v>0.58808177468464551</v>
      </c>
      <c r="F1954" t="str">
        <f t="shared" si="61"/>
        <v>Poor</v>
      </c>
    </row>
    <row r="1955" spans="1:6" ht="15" hidden="1" customHeight="1" x14ac:dyDescent="0.3">
      <c r="A1955" t="s">
        <v>171</v>
      </c>
      <c r="B1955" s="2">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9">
        <f t="shared" si="60"/>
        <v>0.74561597243694511</v>
      </c>
      <c r="F1955" t="str">
        <f t="shared" si="61"/>
        <v>Moderate</v>
      </c>
    </row>
    <row r="1956" spans="1:6" ht="15" hidden="1" customHeight="1" x14ac:dyDescent="0.3">
      <c r="A1956" t="s">
        <v>171</v>
      </c>
      <c r="B1956" s="2">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9">
        <f t="shared" si="60"/>
        <v>0.70058346110453462</v>
      </c>
      <c r="F1956" t="str">
        <f t="shared" si="61"/>
        <v>Moderate</v>
      </c>
    </row>
    <row r="1957" spans="1:6" ht="15" hidden="1" customHeight="1" x14ac:dyDescent="0.3">
      <c r="A1957" t="s">
        <v>171</v>
      </c>
      <c r="B1957" s="2">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9">
        <f t="shared" si="60"/>
        <v>0.71257316071634058</v>
      </c>
      <c r="F1957" t="str">
        <f t="shared" si="61"/>
        <v>Moderate</v>
      </c>
    </row>
    <row r="1958" spans="1:6" ht="15" hidden="1" customHeight="1" x14ac:dyDescent="0.3">
      <c r="A1958" t="s">
        <v>171</v>
      </c>
      <c r="B1958" s="2">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9">
        <f t="shared" si="60"/>
        <v>0.76872234439097309</v>
      </c>
      <c r="F1958" t="str">
        <f t="shared" si="61"/>
        <v>Moderate</v>
      </c>
    </row>
    <row r="1959" spans="1:6" ht="15" hidden="1" customHeight="1" x14ac:dyDescent="0.3">
      <c r="A1959" t="s">
        <v>171</v>
      </c>
      <c r="B1959" s="2">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9">
        <f t="shared" si="60"/>
        <v>0.67266119920681688</v>
      </c>
      <c r="F1959" t="str">
        <f t="shared" si="61"/>
        <v>Poor</v>
      </c>
    </row>
    <row r="1960" spans="1:6" ht="15" hidden="1" customHeight="1" x14ac:dyDescent="0.3">
      <c r="A1960" t="s">
        <v>171</v>
      </c>
      <c r="B1960" s="2">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9">
        <f t="shared" si="60"/>
        <v>0.75348559352246491</v>
      </c>
      <c r="F1960" t="str">
        <f t="shared" si="61"/>
        <v>Moderate</v>
      </c>
    </row>
    <row r="1961" spans="1:6" ht="15" hidden="1" customHeight="1" x14ac:dyDescent="0.3">
      <c r="A1961" t="s">
        <v>171</v>
      </c>
      <c r="B1961" s="2">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9">
        <f t="shared" si="60"/>
        <v>0.79059552144307665</v>
      </c>
      <c r="F1961" t="str">
        <f t="shared" si="61"/>
        <v>Moderate</v>
      </c>
    </row>
    <row r="1962" spans="1:6" ht="15" hidden="1" customHeight="1" x14ac:dyDescent="0.3">
      <c r="A1962" t="s">
        <v>171</v>
      </c>
      <c r="B1962" s="2">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9">
        <f t="shared" si="60"/>
        <v>0.99712393909597052</v>
      </c>
      <c r="F1962" t="str">
        <f t="shared" si="61"/>
        <v>Expected</v>
      </c>
    </row>
    <row r="1963" spans="1:6" ht="15" hidden="1" customHeight="1" x14ac:dyDescent="0.3">
      <c r="A1963" t="s">
        <v>171</v>
      </c>
      <c r="B1963" s="2">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9">
        <f t="shared" si="60"/>
        <v>1.040510492477448</v>
      </c>
      <c r="F1963" t="str">
        <f t="shared" si="61"/>
        <v>Expected</v>
      </c>
    </row>
    <row r="1964" spans="1:6" ht="15" hidden="1" customHeight="1" x14ac:dyDescent="0.3">
      <c r="A1964" t="s">
        <v>171</v>
      </c>
      <c r="B1964" s="2">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9">
        <f t="shared" si="60"/>
        <v>1.0060150572327438</v>
      </c>
      <c r="F1964" t="str">
        <f t="shared" si="61"/>
        <v>Expected</v>
      </c>
    </row>
    <row r="1965" spans="1:6" ht="15" hidden="1" customHeight="1" x14ac:dyDescent="0.3">
      <c r="A1965" t="s">
        <v>171</v>
      </c>
      <c r="B1965" s="2">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9">
        <f t="shared" si="60"/>
        <v>0.91880754582221491</v>
      </c>
      <c r="F1965" t="str">
        <f t="shared" si="61"/>
        <v>Expected</v>
      </c>
    </row>
    <row r="1966" spans="1:6" ht="15" hidden="1" customHeight="1" x14ac:dyDescent="0.3">
      <c r="A1966" t="s">
        <v>171</v>
      </c>
      <c r="B1966" s="2">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9">
        <f t="shared" si="60"/>
        <v>0.75956937799043067</v>
      </c>
      <c r="F1966" t="str">
        <f t="shared" si="61"/>
        <v>Moderate</v>
      </c>
    </row>
    <row r="1967" spans="1:6" ht="15" hidden="1" customHeight="1" x14ac:dyDescent="0.3">
      <c r="A1967" t="s">
        <v>171</v>
      </c>
      <c r="B1967" s="2">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9">
        <f t="shared" si="60"/>
        <v>0.90019877203056675</v>
      </c>
      <c r="F1967" t="str">
        <f t="shared" si="61"/>
        <v>Expected</v>
      </c>
    </row>
    <row r="1968" spans="1:6" ht="15" hidden="1" customHeight="1" x14ac:dyDescent="0.3">
      <c r="A1968" t="s">
        <v>171</v>
      </c>
      <c r="B1968" s="2">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9">
        <f t="shared" si="60"/>
        <v>0.9948679438708804</v>
      </c>
      <c r="F1968" t="str">
        <f t="shared" si="61"/>
        <v>Expected</v>
      </c>
    </row>
    <row r="1969" spans="1:6" ht="15" hidden="1" customHeight="1" x14ac:dyDescent="0.3">
      <c r="A1969" t="s">
        <v>171</v>
      </c>
      <c r="B1969" s="2">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9">
        <f t="shared" si="60"/>
        <v>0.89723845388727141</v>
      </c>
      <c r="F1969" t="str">
        <f t="shared" si="61"/>
        <v>Moderate</v>
      </c>
    </row>
    <row r="1970" spans="1:6" ht="15" hidden="1" customHeight="1" x14ac:dyDescent="0.3">
      <c r="A1970" t="s">
        <v>171</v>
      </c>
      <c r="B1970" s="2">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9">
        <f t="shared" si="60"/>
        <v>0.97801723119838935</v>
      </c>
      <c r="F1970" t="str">
        <f t="shared" si="61"/>
        <v>Expected</v>
      </c>
    </row>
    <row r="1971" spans="1:6" ht="15" hidden="1" customHeight="1" x14ac:dyDescent="0.3">
      <c r="A1971" t="s">
        <v>171</v>
      </c>
      <c r="B1971" s="2">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9">
        <f t="shared" si="60"/>
        <v>1.0747686319429952</v>
      </c>
      <c r="F1971" t="str">
        <f t="shared" si="61"/>
        <v>Expected</v>
      </c>
    </row>
    <row r="1972" spans="1:6" ht="15" hidden="1" customHeight="1" x14ac:dyDescent="0.3">
      <c r="A1972" t="s">
        <v>171</v>
      </c>
      <c r="B1972" s="2">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9">
        <f t="shared" si="60"/>
        <v>0.93224456760379015</v>
      </c>
      <c r="F1972" t="str">
        <f t="shared" si="61"/>
        <v>Expected</v>
      </c>
    </row>
    <row r="1973" spans="1:6" ht="15" hidden="1" customHeight="1" x14ac:dyDescent="0.3">
      <c r="A1973" t="s">
        <v>171</v>
      </c>
      <c r="B1973" s="2">
        <v>46113</v>
      </c>
      <c r="C1973" s="5"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9">
        <f t="shared" si="60"/>
        <v>0.91711021579809449</v>
      </c>
      <c r="F1973" t="str">
        <f t="shared" si="61"/>
        <v>Expected</v>
      </c>
    </row>
    <row r="1974" spans="1:6" ht="15" hidden="1" customHeight="1" x14ac:dyDescent="0.3">
      <c r="A1974" t="s">
        <v>171</v>
      </c>
      <c r="B1974" s="2">
        <v>46143</v>
      </c>
      <c r="C1974" s="5"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9">
        <f t="shared" si="60"/>
        <v>1.0387942693563597</v>
      </c>
      <c r="F1974" t="str">
        <f t="shared" si="61"/>
        <v>Expected</v>
      </c>
    </row>
    <row r="1975" spans="1:6" ht="15" hidden="1" customHeight="1" x14ac:dyDescent="0.3">
      <c r="A1975" t="s">
        <v>171</v>
      </c>
      <c r="B1975" s="2">
        <v>46174</v>
      </c>
      <c r="C1975" cm="1">
        <f t="array" ref="C1975">IFERROR(IF(SUMPRODUCT((measured[Site Name]=A1975)*(measured[Date]=B1975)*ISNUMBER(measured[Measured Value (kWh)]))=0,"",SUMIFS(measured[Measured Value (kWh)],measured[Site Name],A1975,measured[Date],B1975)),"")</f>
        <v>6442</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9">
        <f t="shared" si="60"/>
        <v>0.95398948123675065</v>
      </c>
      <c r="F1975" t="str">
        <f t="shared" si="61"/>
        <v>Expected</v>
      </c>
    </row>
    <row r="1976" spans="1:6" ht="15" hidden="1" customHeight="1" x14ac:dyDescent="0.3">
      <c r="A1976" t="s">
        <v>171</v>
      </c>
      <c r="B1976" s="2">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9" t="str">
        <f t="shared" si="60"/>
        <v/>
      </c>
      <c r="F1976" t="str">
        <f t="shared" si="61"/>
        <v/>
      </c>
    </row>
    <row r="1977" spans="1:6" ht="15" hidden="1" customHeight="1" x14ac:dyDescent="0.3">
      <c r="A1977" t="s">
        <v>171</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9" t="str">
        <f t="shared" si="60"/>
        <v/>
      </c>
      <c r="F1977" t="str">
        <f t="shared" si="61"/>
        <v/>
      </c>
    </row>
    <row r="1978" spans="1:6" ht="15" hidden="1" customHeight="1" x14ac:dyDescent="0.3">
      <c r="A1978" t="s">
        <v>171</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9" t="str">
        <f t="shared" si="60"/>
        <v/>
      </c>
      <c r="F1978" t="str">
        <f t="shared" si="61"/>
        <v/>
      </c>
    </row>
    <row r="1979" spans="1:6" ht="15" hidden="1" customHeight="1" x14ac:dyDescent="0.3">
      <c r="A1979" t="s">
        <v>171</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9" t="str">
        <f t="shared" si="60"/>
        <v/>
      </c>
      <c r="F1979" t="str">
        <f t="shared" si="61"/>
        <v/>
      </c>
    </row>
    <row r="1980" spans="1:6" ht="15" hidden="1" customHeight="1" x14ac:dyDescent="0.3">
      <c r="A1980" t="s">
        <v>171</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9" t="str">
        <f t="shared" si="60"/>
        <v/>
      </c>
      <c r="F1980" t="str">
        <f t="shared" si="61"/>
        <v/>
      </c>
    </row>
    <row r="1981" spans="1:6" ht="15" hidden="1" customHeight="1" x14ac:dyDescent="0.3">
      <c r="A1981" t="s">
        <v>171</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9" t="str">
        <f t="shared" si="60"/>
        <v/>
      </c>
      <c r="F1981" t="str">
        <f t="shared" si="61"/>
        <v/>
      </c>
    </row>
    <row r="1982" spans="1:6" ht="15" hidden="1" customHeight="1" x14ac:dyDescent="0.3">
      <c r="A1982" t="s">
        <v>172</v>
      </c>
      <c r="B1982" s="2">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9">
        <f t="shared" si="60"/>
        <v>0.89302364992020367</v>
      </c>
      <c r="F1982" t="str">
        <f t="shared" si="61"/>
        <v>Moderate</v>
      </c>
    </row>
    <row r="1983" spans="1:6" ht="15" hidden="1" customHeight="1" x14ac:dyDescent="0.3">
      <c r="A1983" t="s">
        <v>172</v>
      </c>
      <c r="B1983" s="2">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9">
        <f t="shared" si="60"/>
        <v>0.83511647449169646</v>
      </c>
      <c r="F1983" t="str">
        <f t="shared" si="61"/>
        <v>Moderate</v>
      </c>
    </row>
    <row r="1984" spans="1:6" ht="15" hidden="1" customHeight="1" x14ac:dyDescent="0.3">
      <c r="A1984" t="s">
        <v>172</v>
      </c>
      <c r="B1984" s="2">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9">
        <f t="shared" si="60"/>
        <v>0.85515991201921837</v>
      </c>
      <c r="F1984" t="str">
        <f t="shared" si="61"/>
        <v>Moderate</v>
      </c>
    </row>
    <row r="1985" spans="1:6" ht="15" hidden="1" customHeight="1" x14ac:dyDescent="0.3">
      <c r="A1985" t="s">
        <v>172</v>
      </c>
      <c r="B1985" s="2">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9">
        <f t="shared" si="60"/>
        <v>0.78548030951402781</v>
      </c>
      <c r="F1985" t="str">
        <f t="shared" si="61"/>
        <v>Moderate</v>
      </c>
    </row>
    <row r="1986" spans="1:6" ht="15" hidden="1" customHeight="1" x14ac:dyDescent="0.3">
      <c r="A1986" t="s">
        <v>172</v>
      </c>
      <c r="B1986" s="2">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9">
        <f t="shared" ref="E1986:E2049" si="62">IF(OR(C1986="",D1986="",D1986=0),"",C1986/D1986)</f>
        <v>0.80694107414703786</v>
      </c>
      <c r="F1986" t="str">
        <f t="shared" ref="F1986:F2049" si="63">IF(E1986="","",IF(E1986&gt;=0.9,"Expected",IF(E1986&gt;=0.7,"Moderate","Poor")))</f>
        <v>Moderate</v>
      </c>
    </row>
    <row r="1987" spans="1:6" ht="15" hidden="1" customHeight="1" x14ac:dyDescent="0.3">
      <c r="A1987" t="s">
        <v>172</v>
      </c>
      <c r="B1987" s="2">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9">
        <f t="shared" si="62"/>
        <v>0.78548663762489968</v>
      </c>
      <c r="F1987" t="str">
        <f t="shared" si="63"/>
        <v>Moderate</v>
      </c>
    </row>
    <row r="1988" spans="1:6" ht="15" hidden="1" customHeight="1" x14ac:dyDescent="0.3">
      <c r="A1988" t="s">
        <v>172</v>
      </c>
      <c r="B1988" s="2">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9">
        <f t="shared" si="62"/>
        <v>0.98671906935056719</v>
      </c>
      <c r="F1988" t="str">
        <f t="shared" si="63"/>
        <v>Expected</v>
      </c>
    </row>
    <row r="1989" spans="1:6" ht="15" hidden="1" customHeight="1" x14ac:dyDescent="0.3">
      <c r="A1989" t="s">
        <v>172</v>
      </c>
      <c r="B1989" s="2">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9">
        <f t="shared" si="62"/>
        <v>0.92065715592219077</v>
      </c>
      <c r="F1989" t="str">
        <f t="shared" si="63"/>
        <v>Expected</v>
      </c>
    </row>
    <row r="1990" spans="1:6" ht="15" hidden="1" customHeight="1" x14ac:dyDescent="0.3">
      <c r="A1990" t="s">
        <v>172</v>
      </c>
      <c r="B1990" s="2">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9">
        <f t="shared" si="62"/>
        <v>0.78550923744481471</v>
      </c>
      <c r="F1990" t="str">
        <f t="shared" si="63"/>
        <v>Moderate</v>
      </c>
    </row>
    <row r="1991" spans="1:6" ht="15" hidden="1" customHeight="1" x14ac:dyDescent="0.3">
      <c r="A1991" t="s">
        <v>172</v>
      </c>
      <c r="B1991" s="2">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9">
        <f t="shared" si="62"/>
        <v>0.97274420704545961</v>
      </c>
      <c r="F1991" t="str">
        <f t="shared" si="63"/>
        <v>Expected</v>
      </c>
    </row>
    <row r="1992" spans="1:6" ht="15" hidden="1" customHeight="1" x14ac:dyDescent="0.3">
      <c r="A1992" t="s">
        <v>172</v>
      </c>
      <c r="B1992" s="2">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9">
        <f t="shared" si="62"/>
        <v>0.84216614456851702</v>
      </c>
      <c r="F1992" t="str">
        <f t="shared" si="63"/>
        <v>Moderate</v>
      </c>
    </row>
    <row r="1993" spans="1:6" ht="15" hidden="1" customHeight="1" x14ac:dyDescent="0.3">
      <c r="A1993" t="s">
        <v>172</v>
      </c>
      <c r="B1993" s="2">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9">
        <f t="shared" si="62"/>
        <v>0.85914328325335088</v>
      </c>
      <c r="F1993" t="str">
        <f t="shared" si="63"/>
        <v>Moderate</v>
      </c>
    </row>
    <row r="1994" spans="1:6" ht="15" hidden="1" customHeight="1" x14ac:dyDescent="0.3">
      <c r="A1994" t="s">
        <v>172</v>
      </c>
      <c r="B1994" s="2">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9">
        <f t="shared" si="62"/>
        <v>0.8835668593204048</v>
      </c>
      <c r="F1994" t="str">
        <f t="shared" si="63"/>
        <v>Moderate</v>
      </c>
    </row>
    <row r="1995" spans="1:6" ht="15" hidden="1" customHeight="1" x14ac:dyDescent="0.3">
      <c r="A1995" t="s">
        <v>172</v>
      </c>
      <c r="B1995" s="2">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9">
        <f t="shared" si="62"/>
        <v>0.69003345298959018</v>
      </c>
      <c r="F1995" t="str">
        <f t="shared" si="63"/>
        <v>Poor</v>
      </c>
    </row>
    <row r="1996" spans="1:6" ht="15" hidden="1" customHeight="1" x14ac:dyDescent="0.3">
      <c r="A1996" t="s">
        <v>172</v>
      </c>
      <c r="B1996" s="2">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9">
        <f t="shared" si="62"/>
        <v>0.83593105054699557</v>
      </c>
      <c r="F1996" t="str">
        <f t="shared" si="63"/>
        <v>Moderate</v>
      </c>
    </row>
    <row r="1997" spans="1:6" ht="15" hidden="1" customHeight="1" x14ac:dyDescent="0.3">
      <c r="A1997" t="s">
        <v>172</v>
      </c>
      <c r="B1997" s="2">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9">
        <f t="shared" si="62"/>
        <v>0.69541696529512487</v>
      </c>
      <c r="F1997" t="str">
        <f t="shared" si="63"/>
        <v>Poor</v>
      </c>
    </row>
    <row r="1998" spans="1:6" ht="15" hidden="1" customHeight="1" x14ac:dyDescent="0.3">
      <c r="A1998" t="s">
        <v>172</v>
      </c>
      <c r="B1998" s="2">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9">
        <f t="shared" si="62"/>
        <v>0.85805699369347599</v>
      </c>
      <c r="F1998" t="str">
        <f t="shared" si="63"/>
        <v>Moderate</v>
      </c>
    </row>
    <row r="1999" spans="1:6" ht="15" hidden="1" customHeight="1" x14ac:dyDescent="0.3">
      <c r="A1999" t="s">
        <v>172</v>
      </c>
      <c r="B1999" s="2">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9">
        <f t="shared" si="62"/>
        <v>0.83530548981700614</v>
      </c>
      <c r="F1999" t="str">
        <f t="shared" si="63"/>
        <v>Moderate</v>
      </c>
    </row>
    <row r="2000" spans="1:6" ht="15" hidden="1" customHeight="1" x14ac:dyDescent="0.3">
      <c r="A2000" t="s">
        <v>172</v>
      </c>
      <c r="B2000" s="2">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9">
        <f t="shared" si="62"/>
        <v>0.8859743691586891</v>
      </c>
      <c r="F2000" t="str">
        <f t="shared" si="63"/>
        <v>Moderate</v>
      </c>
    </row>
    <row r="2001" spans="1:6" ht="15" hidden="1" customHeight="1" x14ac:dyDescent="0.3">
      <c r="A2001" t="s">
        <v>172</v>
      </c>
      <c r="B2001" s="2">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9">
        <f t="shared" si="62"/>
        <v>0.86958865953844056</v>
      </c>
      <c r="F2001" t="str">
        <f t="shared" si="63"/>
        <v>Moderate</v>
      </c>
    </row>
    <row r="2002" spans="1:6" ht="15" hidden="1" customHeight="1" x14ac:dyDescent="0.3">
      <c r="A2002" t="s">
        <v>172</v>
      </c>
      <c r="B2002" s="2">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9">
        <f t="shared" si="62"/>
        <v>0.7136004178280887</v>
      </c>
      <c r="F2002" t="str">
        <f t="shared" si="63"/>
        <v>Moderate</v>
      </c>
    </row>
    <row r="2003" spans="1:6" ht="15" hidden="1" customHeight="1" x14ac:dyDescent="0.3">
      <c r="A2003" t="s">
        <v>172</v>
      </c>
      <c r="B2003" s="2">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9">
        <f t="shared" si="62"/>
        <v>0.87762378148494702</v>
      </c>
      <c r="F2003" t="str">
        <f t="shared" si="63"/>
        <v>Moderate</v>
      </c>
    </row>
    <row r="2004" spans="1:6" ht="15" hidden="1" customHeight="1" x14ac:dyDescent="0.3">
      <c r="A2004" t="s">
        <v>172</v>
      </c>
      <c r="B2004" s="2">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9">
        <f t="shared" si="62"/>
        <v>0.86531710202883294</v>
      </c>
      <c r="F2004" t="str">
        <f t="shared" si="63"/>
        <v>Moderate</v>
      </c>
    </row>
    <row r="2005" spans="1:6" ht="15" hidden="1" customHeight="1" x14ac:dyDescent="0.3">
      <c r="A2005" t="s">
        <v>172</v>
      </c>
      <c r="B2005" s="2">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9">
        <f t="shared" si="62"/>
        <v>0.82375318016287657</v>
      </c>
      <c r="F2005" t="str">
        <f t="shared" si="63"/>
        <v>Moderate</v>
      </c>
    </row>
    <row r="2006" spans="1:6" ht="15" hidden="1" customHeight="1" x14ac:dyDescent="0.3">
      <c r="A2006" t="s">
        <v>172</v>
      </c>
      <c r="B2006" s="2">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9">
        <f t="shared" si="62"/>
        <v>0.58934719017946346</v>
      </c>
      <c r="F2006" t="str">
        <f t="shared" si="63"/>
        <v>Poor</v>
      </c>
    </row>
    <row r="2007" spans="1:6" ht="15" hidden="1" customHeight="1" x14ac:dyDescent="0.3">
      <c r="A2007" t="s">
        <v>172</v>
      </c>
      <c r="B2007" s="2">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9">
        <f t="shared" si="62"/>
        <v>0.47154851732173642</v>
      </c>
      <c r="F2007" t="str">
        <f t="shared" si="63"/>
        <v>Poor</v>
      </c>
    </row>
    <row r="2008" spans="1:6" ht="15" hidden="1" customHeight="1" x14ac:dyDescent="0.3">
      <c r="A2008" t="s">
        <v>172</v>
      </c>
      <c r="B2008" s="2">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9">
        <f t="shared" si="62"/>
        <v>0.7126478273353124</v>
      </c>
      <c r="F2008" t="str">
        <f t="shared" si="63"/>
        <v>Moderate</v>
      </c>
    </row>
    <row r="2009" spans="1:6" ht="15" hidden="1" customHeight="1" x14ac:dyDescent="0.3">
      <c r="A2009" t="s">
        <v>172</v>
      </c>
      <c r="B2009" s="2">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9">
        <f t="shared" si="62"/>
        <v>0.78699669234621517</v>
      </c>
      <c r="F2009" t="str">
        <f t="shared" si="63"/>
        <v>Moderate</v>
      </c>
    </row>
    <row r="2010" spans="1:6" ht="15" hidden="1" customHeight="1" x14ac:dyDescent="0.3">
      <c r="A2010" t="s">
        <v>172</v>
      </c>
      <c r="B2010" s="2">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9">
        <f t="shared" si="62"/>
        <v>0.86505063148762917</v>
      </c>
      <c r="F2010" t="str">
        <f t="shared" si="63"/>
        <v>Moderate</v>
      </c>
    </row>
    <row r="2011" spans="1:6" ht="15" hidden="1" customHeight="1" x14ac:dyDescent="0.3">
      <c r="A2011" t="s">
        <v>172</v>
      </c>
      <c r="B2011" s="2">
        <v>46174</v>
      </c>
      <c r="C2011" cm="1">
        <f t="array" ref="C2011">IFERROR(IF(SUMPRODUCT((measured[Site Name]=A2011)*(measured[Date]=B2011)*ISNUMBER(measured[Measured Value (kWh)]))=0,"",SUMIFS(measured[Measured Value (kWh)],measured[Site Name],A2011,measured[Date],B2011)),"")</f>
        <v>7190.68</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9">
        <f t="shared" si="62"/>
        <v>0.92185132290462113</v>
      </c>
      <c r="F2011" t="str">
        <f t="shared" si="63"/>
        <v>Expected</v>
      </c>
    </row>
    <row r="2012" spans="1:6" ht="15" hidden="1" customHeight="1" x14ac:dyDescent="0.3">
      <c r="A2012" t="s">
        <v>172</v>
      </c>
      <c r="B2012" s="2">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9" t="str">
        <f t="shared" si="62"/>
        <v/>
      </c>
      <c r="F2012" t="str">
        <f t="shared" si="63"/>
        <v/>
      </c>
    </row>
    <row r="2013" spans="1:6" ht="15" hidden="1" customHeight="1" x14ac:dyDescent="0.3">
      <c r="A2013" t="s">
        <v>172</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9" t="str">
        <f t="shared" si="62"/>
        <v/>
      </c>
      <c r="F2013" t="str">
        <f t="shared" si="63"/>
        <v/>
      </c>
    </row>
    <row r="2014" spans="1:6" ht="15" hidden="1" customHeight="1" x14ac:dyDescent="0.3">
      <c r="A2014" t="s">
        <v>172</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9" t="str">
        <f t="shared" si="62"/>
        <v/>
      </c>
      <c r="F2014" t="str">
        <f t="shared" si="63"/>
        <v/>
      </c>
    </row>
    <row r="2015" spans="1:6" ht="15" hidden="1" customHeight="1" x14ac:dyDescent="0.3">
      <c r="A2015" t="s">
        <v>172</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9" t="str">
        <f t="shared" si="62"/>
        <v/>
      </c>
      <c r="F2015" t="str">
        <f t="shared" si="63"/>
        <v/>
      </c>
    </row>
    <row r="2016" spans="1:6" ht="15" hidden="1" customHeight="1" x14ac:dyDescent="0.3">
      <c r="A2016" t="s">
        <v>172</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9" t="str">
        <f t="shared" si="62"/>
        <v/>
      </c>
      <c r="F2016" t="str">
        <f t="shared" si="63"/>
        <v/>
      </c>
    </row>
    <row r="2017" spans="1:6" ht="15" hidden="1" customHeight="1" x14ac:dyDescent="0.3">
      <c r="A2017" t="s">
        <v>172</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9" t="str">
        <f t="shared" si="62"/>
        <v/>
      </c>
      <c r="F2017" t="str">
        <f t="shared" si="63"/>
        <v/>
      </c>
    </row>
    <row r="2018" spans="1:6" ht="15" hidden="1" customHeight="1" x14ac:dyDescent="0.3">
      <c r="A2018" t="s">
        <v>177</v>
      </c>
      <c r="B2018" s="2">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9">
        <f t="shared" si="62"/>
        <v>0.98564088448481502</v>
      </c>
      <c r="F2018" t="str">
        <f t="shared" si="63"/>
        <v>Expected</v>
      </c>
    </row>
    <row r="2019" spans="1:6" ht="15" hidden="1" customHeight="1" x14ac:dyDescent="0.3">
      <c r="A2019" t="s">
        <v>177</v>
      </c>
      <c r="B2019" s="2">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9">
        <f t="shared" si="62"/>
        <v>1.0915078804987062</v>
      </c>
      <c r="F2019" t="str">
        <f t="shared" si="63"/>
        <v>Expected</v>
      </c>
    </row>
    <row r="2020" spans="1:6" ht="15" hidden="1" customHeight="1" x14ac:dyDescent="0.3">
      <c r="A2020" t="s">
        <v>177</v>
      </c>
      <c r="B2020" s="2">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9">
        <f t="shared" si="62"/>
        <v>1.1483934265391218</v>
      </c>
      <c r="F2020" t="str">
        <f t="shared" si="63"/>
        <v>Expected</v>
      </c>
    </row>
    <row r="2021" spans="1:6" ht="15" hidden="1" customHeight="1" x14ac:dyDescent="0.3">
      <c r="A2021" t="s">
        <v>177</v>
      </c>
      <c r="B2021" s="2">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9">
        <f t="shared" si="62"/>
        <v>1.1094322728671759</v>
      </c>
      <c r="F2021" t="str">
        <f t="shared" si="63"/>
        <v>Expected</v>
      </c>
    </row>
    <row r="2022" spans="1:6" ht="15" hidden="1" customHeight="1" x14ac:dyDescent="0.3">
      <c r="A2022" t="s">
        <v>177</v>
      </c>
      <c r="B2022" s="2">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9">
        <f t="shared" si="62"/>
        <v>1.0376993983551361</v>
      </c>
      <c r="F2022" t="str">
        <f t="shared" si="63"/>
        <v>Expected</v>
      </c>
    </row>
    <row r="2023" spans="1:6" ht="15" hidden="1" customHeight="1" x14ac:dyDescent="0.3">
      <c r="A2023" t="s">
        <v>177</v>
      </c>
      <c r="B2023" s="2">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9">
        <f t="shared" si="62"/>
        <v>0.96411355115158015</v>
      </c>
      <c r="F2023" t="str">
        <f t="shared" si="63"/>
        <v>Expected</v>
      </c>
    </row>
    <row r="2024" spans="1:6" ht="15" hidden="1" customHeight="1" x14ac:dyDescent="0.3">
      <c r="A2024" t="s">
        <v>177</v>
      </c>
      <c r="B2024" s="2">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9">
        <f t="shared" si="62"/>
        <v>1.0464577024852006</v>
      </c>
      <c r="F2024" t="str">
        <f t="shared" si="63"/>
        <v>Expected</v>
      </c>
    </row>
    <row r="2025" spans="1:6" ht="15" hidden="1" customHeight="1" x14ac:dyDescent="0.3">
      <c r="A2025" t="s">
        <v>177</v>
      </c>
      <c r="B2025" s="2">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9">
        <f t="shared" si="62"/>
        <v>0.95394736842105265</v>
      </c>
      <c r="F2025" t="str">
        <f t="shared" si="63"/>
        <v>Expected</v>
      </c>
    </row>
    <row r="2026" spans="1:6" ht="15" hidden="1" customHeight="1" x14ac:dyDescent="0.3">
      <c r="A2026" t="s">
        <v>177</v>
      </c>
      <c r="B2026" s="2">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9">
        <f t="shared" si="62"/>
        <v>0.87644182400973292</v>
      </c>
      <c r="F2026" t="str">
        <f t="shared" si="63"/>
        <v>Moderate</v>
      </c>
    </row>
    <row r="2027" spans="1:6" ht="15" hidden="1" customHeight="1" x14ac:dyDescent="0.3">
      <c r="A2027" t="s">
        <v>177</v>
      </c>
      <c r="B2027" s="2">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9">
        <f t="shared" si="62"/>
        <v>0.80407516202732321</v>
      </c>
      <c r="F2027" t="str">
        <f t="shared" si="63"/>
        <v>Moderate</v>
      </c>
    </row>
    <row r="2028" spans="1:6" ht="15" hidden="1" customHeight="1" x14ac:dyDescent="0.3">
      <c r="A2028" t="s">
        <v>177</v>
      </c>
      <c r="B2028" s="2">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9">
        <f t="shared" si="62"/>
        <v>1.0894630335545201</v>
      </c>
      <c r="F2028" t="str">
        <f t="shared" si="63"/>
        <v>Expected</v>
      </c>
    </row>
    <row r="2029" spans="1:6" ht="15" hidden="1" customHeight="1" x14ac:dyDescent="0.3">
      <c r="A2029" t="s">
        <v>177</v>
      </c>
      <c r="B2029" s="2">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9">
        <f t="shared" si="62"/>
        <v>1.1378767431399011</v>
      </c>
      <c r="F2029" t="str">
        <f t="shared" si="63"/>
        <v>Expected</v>
      </c>
    </row>
    <row r="2030" spans="1:6" ht="15" hidden="1" customHeight="1" x14ac:dyDescent="0.3">
      <c r="A2030" t="s">
        <v>177</v>
      </c>
      <c r="B2030" s="2">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9">
        <f t="shared" si="62"/>
        <v>1.0264703183778328</v>
      </c>
      <c r="F2030" t="str">
        <f t="shared" si="63"/>
        <v>Expected</v>
      </c>
    </row>
    <row r="2031" spans="1:6" ht="15" hidden="1" customHeight="1" x14ac:dyDescent="0.3">
      <c r="A2031" t="s">
        <v>177</v>
      </c>
      <c r="B2031" s="2">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9">
        <f t="shared" si="62"/>
        <v>0.95428526621187171</v>
      </c>
      <c r="F2031" t="str">
        <f t="shared" si="63"/>
        <v>Expected</v>
      </c>
    </row>
    <row r="2032" spans="1:6" ht="15" hidden="1" customHeight="1" x14ac:dyDescent="0.3">
      <c r="A2032" t="s">
        <v>177</v>
      </c>
      <c r="B2032" s="2">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9">
        <f t="shared" si="62"/>
        <v>0.95952906548933037</v>
      </c>
      <c r="F2032" t="str">
        <f t="shared" si="63"/>
        <v>Expected</v>
      </c>
    </row>
    <row r="2033" spans="1:6" ht="15" hidden="1" customHeight="1" x14ac:dyDescent="0.3">
      <c r="A2033" t="s">
        <v>177</v>
      </c>
      <c r="B2033" s="2">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9">
        <f t="shared" si="62"/>
        <v>0.94042922297769938</v>
      </c>
      <c r="F2033" t="str">
        <f t="shared" si="63"/>
        <v>Expected</v>
      </c>
    </row>
    <row r="2034" spans="1:6" ht="15" hidden="1" customHeight="1" x14ac:dyDescent="0.3">
      <c r="A2034" t="s">
        <v>177</v>
      </c>
      <c r="B2034" s="2">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9">
        <f t="shared" si="62"/>
        <v>1.0007175580946073</v>
      </c>
      <c r="F2034" t="str">
        <f t="shared" si="63"/>
        <v>Expected</v>
      </c>
    </row>
    <row r="2035" spans="1:6" ht="15" hidden="1" customHeight="1" x14ac:dyDescent="0.3">
      <c r="A2035" t="s">
        <v>177</v>
      </c>
      <c r="B2035" s="2">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9">
        <f t="shared" si="62"/>
        <v>0.95196988632982205</v>
      </c>
      <c r="F2035" t="str">
        <f t="shared" si="63"/>
        <v>Expected</v>
      </c>
    </row>
    <row r="2036" spans="1:6" ht="15" hidden="1" customHeight="1" x14ac:dyDescent="0.3">
      <c r="A2036" t="s">
        <v>177</v>
      </c>
      <c r="B2036" s="2">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9">
        <f t="shared" si="62"/>
        <v>0.90105573287503071</v>
      </c>
      <c r="F2036" t="str">
        <f t="shared" si="63"/>
        <v>Expected</v>
      </c>
    </row>
    <row r="2037" spans="1:6" ht="15" hidden="1" customHeight="1" x14ac:dyDescent="0.3">
      <c r="A2037" t="s">
        <v>177</v>
      </c>
      <c r="B2037" s="2">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9">
        <f t="shared" si="62"/>
        <v>0.94590643274853803</v>
      </c>
      <c r="F2037" t="str">
        <f t="shared" si="63"/>
        <v>Expected</v>
      </c>
    </row>
    <row r="2038" spans="1:6" ht="15" hidden="1" customHeight="1" x14ac:dyDescent="0.3">
      <c r="A2038" t="s">
        <v>177</v>
      </c>
      <c r="B2038" s="2">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9">
        <f t="shared" si="62"/>
        <v>0.95084345242273216</v>
      </c>
      <c r="F2038" t="str">
        <f t="shared" si="63"/>
        <v>Expected</v>
      </c>
    </row>
    <row r="2039" spans="1:6" ht="15" hidden="1" customHeight="1" x14ac:dyDescent="0.3">
      <c r="A2039" t="s">
        <v>177</v>
      </c>
      <c r="B2039" s="2">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9">
        <f t="shared" si="62"/>
        <v>1.0745092553737121</v>
      </c>
      <c r="F2039" t="str">
        <f t="shared" si="63"/>
        <v>Expected</v>
      </c>
    </row>
    <row r="2040" spans="1:6" ht="15" hidden="1" customHeight="1" x14ac:dyDescent="0.3">
      <c r="A2040" t="s">
        <v>177</v>
      </c>
      <c r="B2040" s="2">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9">
        <f t="shared" si="62"/>
        <v>0.86615840745446837</v>
      </c>
      <c r="F2040" t="str">
        <f t="shared" si="63"/>
        <v>Moderate</v>
      </c>
    </row>
    <row r="2041" spans="1:6" ht="15" hidden="1" customHeight="1" x14ac:dyDescent="0.3">
      <c r="A2041" t="s">
        <v>177</v>
      </c>
      <c r="B2041" s="2">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9">
        <f t="shared" si="62"/>
        <v>0.27058029689608637</v>
      </c>
      <c r="F2041" t="str">
        <f t="shared" si="63"/>
        <v>Poor</v>
      </c>
    </row>
    <row r="2042" spans="1:6" ht="15" hidden="1" customHeight="1" x14ac:dyDescent="0.3">
      <c r="A2042" t="s">
        <v>177</v>
      </c>
      <c r="B2042" s="2">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9">
        <f t="shared" si="62"/>
        <v>0.69134783007615375</v>
      </c>
      <c r="F2042" t="str">
        <f t="shared" si="63"/>
        <v>Poor</v>
      </c>
    </row>
    <row r="2043" spans="1:6" ht="15" hidden="1" customHeight="1" x14ac:dyDescent="0.3">
      <c r="A2043" t="s">
        <v>177</v>
      </c>
      <c r="B2043" s="2">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9">
        <f t="shared" si="62"/>
        <v>1.213060979116025</v>
      </c>
      <c r="F2043" t="str">
        <f t="shared" si="63"/>
        <v>Expected</v>
      </c>
    </row>
    <row r="2044" spans="1:6" ht="15" hidden="1" customHeight="1" x14ac:dyDescent="0.3">
      <c r="A2044" t="s">
        <v>177</v>
      </c>
      <c r="B2044" s="2">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9">
        <f t="shared" si="62"/>
        <v>0.92126563649742454</v>
      </c>
      <c r="F2044" t="str">
        <f t="shared" si="63"/>
        <v>Expected</v>
      </c>
    </row>
    <row r="2045" spans="1:6" ht="15" hidden="1" customHeight="1" x14ac:dyDescent="0.3">
      <c r="A2045" t="s">
        <v>177</v>
      </c>
      <c r="B2045" s="2">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9">
        <f t="shared" si="62"/>
        <v>0.92171017655782195</v>
      </c>
      <c r="F2045" t="str">
        <f t="shared" si="63"/>
        <v>Expected</v>
      </c>
    </row>
    <row r="2046" spans="1:6" ht="15" hidden="1" customHeight="1" x14ac:dyDescent="0.3">
      <c r="A2046" t="s">
        <v>177</v>
      </c>
      <c r="B2046" s="2">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9">
        <f t="shared" si="62"/>
        <v>0.94409118507479162</v>
      </c>
      <c r="F2046" t="str">
        <f t="shared" si="63"/>
        <v>Expected</v>
      </c>
    </row>
    <row r="2047" spans="1:6" ht="15" hidden="1" customHeight="1" x14ac:dyDescent="0.3">
      <c r="A2047" t="s">
        <v>177</v>
      </c>
      <c r="B2047" s="2">
        <v>46174</v>
      </c>
      <c r="C2047" cm="1">
        <f t="array" ref="C2047">IFERROR(IF(SUMPRODUCT((measured[Site Name]=A2047)*(measured[Date]=B2047)*ISNUMBER(measured[Measured Value (kWh)]))=0,"",SUMIFS(measured[Measured Value (kWh)],measured[Site Name],A2047,measured[Date],B2047)),"")</f>
        <v>2882</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9">
        <f t="shared" si="62"/>
        <v>0.85758495506754751</v>
      </c>
      <c r="F2047" t="str">
        <f t="shared" si="63"/>
        <v>Moderate</v>
      </c>
    </row>
    <row r="2048" spans="1:6" ht="15" hidden="1" customHeight="1" x14ac:dyDescent="0.3">
      <c r="A2048" t="s">
        <v>177</v>
      </c>
      <c r="B2048" s="2">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t="str">
        <f t="shared" si="62"/>
        <v/>
      </c>
      <c r="F2048" t="str">
        <f t="shared" si="63"/>
        <v/>
      </c>
    </row>
    <row r="2049" spans="1:6" ht="15" hidden="1" customHeight="1" x14ac:dyDescent="0.3">
      <c r="A2049" t="s">
        <v>177</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9" t="str">
        <f t="shared" si="62"/>
        <v/>
      </c>
      <c r="F2049" t="str">
        <f t="shared" si="63"/>
        <v/>
      </c>
    </row>
    <row r="2050" spans="1:6" ht="15" hidden="1" customHeight="1" x14ac:dyDescent="0.3">
      <c r="A2050" t="s">
        <v>177</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9" t="str">
        <f t="shared" ref="E2050:E2113" si="64">IF(OR(C2050="",D2050="",D2050=0),"",C2050/D2050)</f>
        <v/>
      </c>
      <c r="F2050" t="str">
        <f t="shared" ref="F2050:F2113" si="65">IF(E2050="","",IF(E2050&gt;=0.9,"Expected",IF(E2050&gt;=0.7,"Moderate","Poor")))</f>
        <v/>
      </c>
    </row>
    <row r="2051" spans="1:6" ht="15" hidden="1" customHeight="1" x14ac:dyDescent="0.3">
      <c r="A2051" t="s">
        <v>177</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9" t="str">
        <f t="shared" si="64"/>
        <v/>
      </c>
      <c r="F2051" t="str">
        <f t="shared" si="65"/>
        <v/>
      </c>
    </row>
    <row r="2052" spans="1:6" ht="15" hidden="1" customHeight="1" x14ac:dyDescent="0.3">
      <c r="A2052" t="s">
        <v>177</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9" t="str">
        <f t="shared" si="64"/>
        <v/>
      </c>
      <c r="F2052" t="str">
        <f t="shared" si="65"/>
        <v/>
      </c>
    </row>
    <row r="2053" spans="1:6" ht="15" hidden="1" customHeight="1" x14ac:dyDescent="0.3">
      <c r="A2053" t="s">
        <v>177</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9" t="str">
        <f t="shared" si="64"/>
        <v/>
      </c>
      <c r="F2053" t="str">
        <f t="shared" si="65"/>
        <v/>
      </c>
    </row>
    <row r="2054" spans="1:6" ht="15" hidden="1" customHeight="1" x14ac:dyDescent="0.3">
      <c r="A2054" t="s">
        <v>266</v>
      </c>
      <c r="B2054" s="2">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9">
        <f t="shared" si="64"/>
        <v>0.6136131683388959</v>
      </c>
      <c r="F2054" t="str">
        <f t="shared" si="65"/>
        <v>Poor</v>
      </c>
    </row>
    <row r="2055" spans="1:6" ht="15" hidden="1" customHeight="1" x14ac:dyDescent="0.3">
      <c r="A2055" t="s">
        <v>266</v>
      </c>
      <c r="B2055" s="2">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9">
        <f t="shared" si="64"/>
        <v>0.60206781184828195</v>
      </c>
      <c r="F2055" t="str">
        <f t="shared" si="65"/>
        <v>Poor</v>
      </c>
    </row>
    <row r="2056" spans="1:6" ht="15" hidden="1" customHeight="1" x14ac:dyDescent="0.3">
      <c r="A2056" t="s">
        <v>266</v>
      </c>
      <c r="B2056" s="2">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9">
        <f t="shared" si="64"/>
        <v>0.68984825732845778</v>
      </c>
      <c r="F2056" t="str">
        <f t="shared" si="65"/>
        <v>Poor</v>
      </c>
    </row>
    <row r="2057" spans="1:6" ht="15" hidden="1" customHeight="1" x14ac:dyDescent="0.3">
      <c r="A2057" t="s">
        <v>266</v>
      </c>
      <c r="B2057" s="2">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9">
        <f t="shared" si="64"/>
        <v>0.66575091429332411</v>
      </c>
      <c r="F2057" t="str">
        <f t="shared" si="65"/>
        <v>Poor</v>
      </c>
    </row>
    <row r="2058" spans="1:6" ht="15" hidden="1" customHeight="1" x14ac:dyDescent="0.3">
      <c r="A2058" t="s">
        <v>266</v>
      </c>
      <c r="B2058" s="2">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9">
        <f t="shared" si="64"/>
        <v>0.66836283990306367</v>
      </c>
      <c r="F2058" t="str">
        <f t="shared" si="65"/>
        <v>Poor</v>
      </c>
    </row>
    <row r="2059" spans="1:6" ht="15" hidden="1" customHeight="1" x14ac:dyDescent="0.3">
      <c r="A2059" t="s">
        <v>266</v>
      </c>
      <c r="B2059" s="2">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9">
        <f t="shared" si="64"/>
        <v>0.62711046792088765</v>
      </c>
      <c r="F2059" t="str">
        <f t="shared" si="65"/>
        <v>Poor</v>
      </c>
    </row>
    <row r="2060" spans="1:6" ht="15" hidden="1" customHeight="1" x14ac:dyDescent="0.3">
      <c r="A2060" t="s">
        <v>266</v>
      </c>
      <c r="B2060" s="2">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9">
        <f t="shared" si="64"/>
        <v>0.67187441059570274</v>
      </c>
      <c r="F2060" t="str">
        <f t="shared" si="65"/>
        <v>Poor</v>
      </c>
    </row>
    <row r="2061" spans="1:6" ht="15" hidden="1" customHeight="1" x14ac:dyDescent="0.3">
      <c r="A2061" t="s">
        <v>266</v>
      </c>
      <c r="B2061" s="2">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9">
        <f t="shared" si="64"/>
        <v>0.61792743120533533</v>
      </c>
      <c r="F2061" t="str">
        <f t="shared" si="65"/>
        <v>Poor</v>
      </c>
    </row>
    <row r="2062" spans="1:6" ht="15" hidden="1" customHeight="1" x14ac:dyDescent="0.3">
      <c r="A2062" t="s">
        <v>266</v>
      </c>
      <c r="B2062" s="2">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9">
        <f t="shared" si="64"/>
        <v>0.56332826024963456</v>
      </c>
      <c r="F2062" t="str">
        <f t="shared" si="65"/>
        <v>Poor</v>
      </c>
    </row>
    <row r="2063" spans="1:6" ht="15" hidden="1" customHeight="1" x14ac:dyDescent="0.3">
      <c r="A2063" t="s">
        <v>266</v>
      </c>
      <c r="B2063" s="2">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9">
        <f t="shared" si="64"/>
        <v>0.71404961572222558</v>
      </c>
      <c r="F2063" t="str">
        <f t="shared" si="65"/>
        <v>Moderate</v>
      </c>
    </row>
    <row r="2064" spans="1:6" ht="15" hidden="1" customHeight="1" x14ac:dyDescent="0.3">
      <c r="A2064" t="s">
        <v>266</v>
      </c>
      <c r="B2064" s="2">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9">
        <f t="shared" si="64"/>
        <v>0.74893637439621263</v>
      </c>
      <c r="F2064" t="str">
        <f t="shared" si="65"/>
        <v>Moderate</v>
      </c>
    </row>
    <row r="2065" spans="1:6" ht="15" hidden="1" customHeight="1" x14ac:dyDescent="0.3">
      <c r="A2065" t="s">
        <v>266</v>
      </c>
      <c r="B2065" s="2">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9">
        <f t="shared" si="64"/>
        <v>0.7619626475712068</v>
      </c>
      <c r="F2065" t="str">
        <f t="shared" si="65"/>
        <v>Moderate</v>
      </c>
    </row>
    <row r="2066" spans="1:6" ht="15" hidden="1" customHeight="1" x14ac:dyDescent="0.3">
      <c r="A2066" t="s">
        <v>266</v>
      </c>
      <c r="B2066" s="2">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9">
        <f t="shared" si="64"/>
        <v>0.70916912276685651</v>
      </c>
      <c r="F2066" t="str">
        <f t="shared" si="65"/>
        <v>Moderate</v>
      </c>
    </row>
    <row r="2067" spans="1:6" ht="15" hidden="1" customHeight="1" x14ac:dyDescent="0.3">
      <c r="A2067" t="s">
        <v>266</v>
      </c>
      <c r="B2067" s="2">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9">
        <f t="shared" si="64"/>
        <v>0.64240217933318111</v>
      </c>
      <c r="F2067" t="str">
        <f t="shared" si="65"/>
        <v>Poor</v>
      </c>
    </row>
    <row r="2068" spans="1:6" ht="15" hidden="1" customHeight="1" x14ac:dyDescent="0.3">
      <c r="A2068" t="s">
        <v>266</v>
      </c>
      <c r="B2068" s="2">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9">
        <f t="shared" si="64"/>
        <v>0.61750651697314052</v>
      </c>
      <c r="F2068" t="str">
        <f t="shared" si="65"/>
        <v>Poor</v>
      </c>
    </row>
    <row r="2069" spans="1:6" ht="15" hidden="1" customHeight="1" x14ac:dyDescent="0.3">
      <c r="A2069" t="s">
        <v>266</v>
      </c>
      <c r="B2069" s="2">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9">
        <f t="shared" si="64"/>
        <v>0.60277304249971753</v>
      </c>
      <c r="F2069" t="str">
        <f t="shared" si="65"/>
        <v>Poor</v>
      </c>
    </row>
    <row r="2070" spans="1:6" ht="15" hidden="1" customHeight="1" x14ac:dyDescent="0.3">
      <c r="A2070" t="s">
        <v>266</v>
      </c>
      <c r="B2070" s="2">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9">
        <f t="shared" si="64"/>
        <v>0.64558321194893087</v>
      </c>
      <c r="F2070" t="str">
        <f t="shared" si="65"/>
        <v>Poor</v>
      </c>
    </row>
    <row r="2071" spans="1:6" ht="15" hidden="1" customHeight="1" x14ac:dyDescent="0.3">
      <c r="A2071" t="s">
        <v>266</v>
      </c>
      <c r="B2071" s="2">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9">
        <f t="shared" si="64"/>
        <v>0.62264717054561647</v>
      </c>
      <c r="F2071" t="str">
        <f t="shared" si="65"/>
        <v>Poor</v>
      </c>
    </row>
    <row r="2072" spans="1:6" ht="15" hidden="1" customHeight="1" x14ac:dyDescent="0.3">
      <c r="A2072" t="s">
        <v>266</v>
      </c>
      <c r="B2072" s="2">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9">
        <f t="shared" si="64"/>
        <v>0.55514911563454827</v>
      </c>
      <c r="F2072" t="str">
        <f t="shared" si="65"/>
        <v>Poor</v>
      </c>
    </row>
    <row r="2073" spans="1:6" ht="15" hidden="1" customHeight="1" x14ac:dyDescent="0.3">
      <c r="A2073" t="s">
        <v>266</v>
      </c>
      <c r="B2073" s="2">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9">
        <f t="shared" si="64"/>
        <v>0.48028460758770608</v>
      </c>
      <c r="F2073" t="str">
        <f t="shared" si="65"/>
        <v>Poor</v>
      </c>
    </row>
    <row r="2074" spans="1:6" ht="15" hidden="1" customHeight="1" x14ac:dyDescent="0.3">
      <c r="A2074" t="s">
        <v>266</v>
      </c>
      <c r="B2074" s="2">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9">
        <f t="shared" si="64"/>
        <v>0.42290389305181469</v>
      </c>
      <c r="F2074" t="str">
        <f t="shared" si="65"/>
        <v>Poor</v>
      </c>
    </row>
    <row r="2075" spans="1:6" ht="15" hidden="1" customHeight="1" x14ac:dyDescent="0.3">
      <c r="A2075" t="s">
        <v>266</v>
      </c>
      <c r="B2075" s="2">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9">
        <f t="shared" si="64"/>
        <v>0.48455555774454889</v>
      </c>
      <c r="F2075" t="str">
        <f t="shared" si="65"/>
        <v>Poor</v>
      </c>
    </row>
    <row r="2076" spans="1:6" ht="15" hidden="1" customHeight="1" x14ac:dyDescent="0.3">
      <c r="A2076" t="s">
        <v>266</v>
      </c>
      <c r="B2076" s="2">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9">
        <f t="shared" si="64"/>
        <v>0.47409978354285964</v>
      </c>
      <c r="F2076" t="str">
        <f t="shared" si="65"/>
        <v>Poor</v>
      </c>
    </row>
    <row r="2077" spans="1:6" ht="15" hidden="1" customHeight="1" x14ac:dyDescent="0.3">
      <c r="A2077" t="s">
        <v>266</v>
      </c>
      <c r="B2077" s="2">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9">
        <f t="shared" si="64"/>
        <v>7.7124137939840617E-2</v>
      </c>
      <c r="F2077" t="str">
        <f t="shared" si="65"/>
        <v>Poor</v>
      </c>
    </row>
    <row r="2078" spans="1:6" ht="15" hidden="1" customHeight="1" x14ac:dyDescent="0.3">
      <c r="A2078" t="s">
        <v>266</v>
      </c>
      <c r="B2078" s="2">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9">
        <f t="shared" si="64"/>
        <v>1.3266843037638814E-2</v>
      </c>
      <c r="F2078" t="str">
        <f t="shared" si="65"/>
        <v>Poor</v>
      </c>
    </row>
    <row r="2079" spans="1:6" ht="15" hidden="1" customHeight="1" x14ac:dyDescent="0.3">
      <c r="A2079" t="s">
        <v>266</v>
      </c>
      <c r="B2079" s="2">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9">
        <f t="shared" si="64"/>
        <v>2.5666838124574737E-2</v>
      </c>
      <c r="F2079" t="str">
        <f t="shared" si="65"/>
        <v>Poor</v>
      </c>
    </row>
    <row r="2080" spans="1:6" ht="15" hidden="1" customHeight="1" x14ac:dyDescent="0.3">
      <c r="A2080" t="s">
        <v>266</v>
      </c>
      <c r="B2080" s="2">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9">
        <f t="shared" si="64"/>
        <v>1.7129934699031193E-2</v>
      </c>
      <c r="F2080" t="str">
        <f t="shared" si="65"/>
        <v>Poor</v>
      </c>
    </row>
    <row r="2081" spans="1:6" ht="15" hidden="1" customHeight="1" x14ac:dyDescent="0.3">
      <c r="A2081" t="s">
        <v>266</v>
      </c>
      <c r="B2081" s="2">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9">
        <f t="shared" si="64"/>
        <v>2.3859434663508752E-3</v>
      </c>
      <c r="F2081" t="str">
        <f t="shared" si="65"/>
        <v>Poor</v>
      </c>
    </row>
    <row r="2082" spans="1:6" ht="15" hidden="1" customHeight="1" x14ac:dyDescent="0.3">
      <c r="A2082" t="s">
        <v>266</v>
      </c>
      <c r="B2082" s="2">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9">
        <f t="shared" si="64"/>
        <v>0</v>
      </c>
      <c r="F2082" t="str">
        <f t="shared" si="65"/>
        <v>Poor</v>
      </c>
    </row>
    <row r="2083" spans="1:6" ht="15" hidden="1" customHeight="1" x14ac:dyDescent="0.3">
      <c r="A2083" t="s">
        <v>266</v>
      </c>
      <c r="B2083" s="2">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9" t="str">
        <f t="shared" si="64"/>
        <v/>
      </c>
      <c r="F2083" t="str">
        <f t="shared" si="65"/>
        <v/>
      </c>
    </row>
    <row r="2084" spans="1:6" ht="15" hidden="1" customHeight="1" x14ac:dyDescent="0.3">
      <c r="A2084" t="s">
        <v>266</v>
      </c>
      <c r="B2084" s="2">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9" t="str">
        <f t="shared" si="64"/>
        <v/>
      </c>
      <c r="F2084" t="str">
        <f t="shared" si="65"/>
        <v/>
      </c>
    </row>
    <row r="2085" spans="1:6" ht="15" hidden="1" customHeight="1" x14ac:dyDescent="0.3">
      <c r="A2085" t="s">
        <v>266</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9" t="str">
        <f t="shared" si="64"/>
        <v/>
      </c>
      <c r="F2085" t="str">
        <f t="shared" si="65"/>
        <v/>
      </c>
    </row>
    <row r="2086" spans="1:6" ht="15" hidden="1" customHeight="1" x14ac:dyDescent="0.3">
      <c r="A2086" t="s">
        <v>266</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9" t="str">
        <f t="shared" si="64"/>
        <v/>
      </c>
      <c r="F2086" t="str">
        <f t="shared" si="65"/>
        <v/>
      </c>
    </row>
    <row r="2087" spans="1:6" ht="15" hidden="1" customHeight="1" x14ac:dyDescent="0.3">
      <c r="A2087" t="s">
        <v>266</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9" t="str">
        <f t="shared" si="64"/>
        <v/>
      </c>
      <c r="F2087" t="str">
        <f t="shared" si="65"/>
        <v/>
      </c>
    </row>
    <row r="2088" spans="1:6" ht="15" hidden="1" customHeight="1" x14ac:dyDescent="0.3">
      <c r="A2088" t="s">
        <v>266</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9" t="str">
        <f t="shared" si="64"/>
        <v/>
      </c>
      <c r="F2088" t="str">
        <f t="shared" si="65"/>
        <v/>
      </c>
    </row>
    <row r="2089" spans="1:6" ht="15" hidden="1" customHeight="1" x14ac:dyDescent="0.3">
      <c r="A2089" t="s">
        <v>266</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9" t="str">
        <f t="shared" si="64"/>
        <v/>
      </c>
      <c r="F2089" t="str">
        <f t="shared" si="65"/>
        <v/>
      </c>
    </row>
    <row r="2090" spans="1:6" ht="15" hidden="1" customHeight="1" x14ac:dyDescent="0.3">
      <c r="A2090" t="s">
        <v>180</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9" t="str">
        <f t="shared" si="64"/>
        <v/>
      </c>
      <c r="F2090" t="str">
        <f t="shared" si="65"/>
        <v/>
      </c>
    </row>
    <row r="2091" spans="1:6" ht="15" hidden="1" customHeight="1" x14ac:dyDescent="0.3">
      <c r="A2091" t="s">
        <v>180</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9" t="str">
        <f t="shared" si="64"/>
        <v/>
      </c>
      <c r="F2091" t="str">
        <f t="shared" si="65"/>
        <v/>
      </c>
    </row>
    <row r="2092" spans="1:6" ht="15" hidden="1" customHeight="1" x14ac:dyDescent="0.3">
      <c r="A2092" t="s">
        <v>180</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9" t="str">
        <f t="shared" si="64"/>
        <v/>
      </c>
      <c r="F2092" t="str">
        <f t="shared" si="65"/>
        <v/>
      </c>
    </row>
    <row r="2093" spans="1:6" ht="15" hidden="1" customHeight="1" x14ac:dyDescent="0.3">
      <c r="A2093" t="s">
        <v>180</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9" t="str">
        <f t="shared" si="64"/>
        <v/>
      </c>
      <c r="F2093" t="str">
        <f t="shared" si="65"/>
        <v/>
      </c>
    </row>
    <row r="2094" spans="1:6" ht="15" hidden="1" customHeight="1" x14ac:dyDescent="0.3">
      <c r="A2094" t="s">
        <v>180</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9" t="str">
        <f t="shared" si="64"/>
        <v/>
      </c>
      <c r="F2094" t="str">
        <f t="shared" si="65"/>
        <v/>
      </c>
    </row>
    <row r="2095" spans="1:6" ht="15" hidden="1" customHeight="1" x14ac:dyDescent="0.3">
      <c r="A2095" t="s">
        <v>180</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9" t="str">
        <f t="shared" si="64"/>
        <v/>
      </c>
      <c r="F2095" t="str">
        <f t="shared" si="65"/>
        <v/>
      </c>
    </row>
    <row r="2096" spans="1:6" ht="15" hidden="1" customHeight="1" x14ac:dyDescent="0.3">
      <c r="A2096" t="s">
        <v>180</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9" t="str">
        <f t="shared" si="64"/>
        <v/>
      </c>
      <c r="F2096" t="str">
        <f t="shared" si="65"/>
        <v/>
      </c>
    </row>
    <row r="2097" spans="1:6" ht="15" hidden="1" customHeight="1" x14ac:dyDescent="0.3">
      <c r="A2097" t="s">
        <v>180</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9" t="str">
        <f t="shared" si="64"/>
        <v/>
      </c>
      <c r="F2097" t="str">
        <f t="shared" si="65"/>
        <v/>
      </c>
    </row>
    <row r="2098" spans="1:6" ht="15" hidden="1" customHeight="1" x14ac:dyDescent="0.3">
      <c r="A2098" t="s">
        <v>180</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9" t="str">
        <f t="shared" si="64"/>
        <v/>
      </c>
      <c r="F2098" t="str">
        <f t="shared" si="65"/>
        <v/>
      </c>
    </row>
    <row r="2099" spans="1:6" ht="15" hidden="1" customHeight="1" x14ac:dyDescent="0.3">
      <c r="A2099" t="s">
        <v>180</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9" t="str">
        <f t="shared" si="64"/>
        <v/>
      </c>
      <c r="F2099" t="str">
        <f t="shared" si="65"/>
        <v/>
      </c>
    </row>
    <row r="2100" spans="1:6" ht="15" hidden="1" customHeight="1" x14ac:dyDescent="0.3">
      <c r="A2100" t="s">
        <v>180</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9" t="str">
        <f t="shared" si="64"/>
        <v/>
      </c>
      <c r="F2100" t="str">
        <f t="shared" si="65"/>
        <v/>
      </c>
    </row>
    <row r="2101" spans="1:6" ht="15" hidden="1" customHeight="1" x14ac:dyDescent="0.3">
      <c r="A2101" t="s">
        <v>180</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9" t="str">
        <f t="shared" si="64"/>
        <v/>
      </c>
      <c r="F2101" t="str">
        <f t="shared" si="65"/>
        <v/>
      </c>
    </row>
    <row r="2102" spans="1:6" ht="15" hidden="1" customHeight="1" x14ac:dyDescent="0.3">
      <c r="A2102" t="s">
        <v>180</v>
      </c>
      <c r="B2102" s="2">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9">
        <f t="shared" si="64"/>
        <v>0.4257292193559265</v>
      </c>
      <c r="F2102" t="str">
        <f t="shared" si="65"/>
        <v>Poor</v>
      </c>
    </row>
    <row r="2103" spans="1:6" ht="15" hidden="1" customHeight="1" x14ac:dyDescent="0.3">
      <c r="A2103" t="s">
        <v>180</v>
      </c>
      <c r="B2103" s="2">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9">
        <f t="shared" si="64"/>
        <v>0.58690336463223791</v>
      </c>
      <c r="F2103" t="str">
        <f t="shared" si="65"/>
        <v>Poor</v>
      </c>
    </row>
    <row r="2104" spans="1:6" ht="15" hidden="1" customHeight="1" x14ac:dyDescent="0.3">
      <c r="A2104" t="s">
        <v>180</v>
      </c>
      <c r="B2104" s="2">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9">
        <f t="shared" si="64"/>
        <v>0.66110285545598735</v>
      </c>
      <c r="F2104" t="str">
        <f t="shared" si="65"/>
        <v>Poor</v>
      </c>
    </row>
    <row r="2105" spans="1:6" ht="15" hidden="1" customHeight="1" x14ac:dyDescent="0.3">
      <c r="A2105" t="s">
        <v>180</v>
      </c>
      <c r="B2105" s="2">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9">
        <f t="shared" si="64"/>
        <v>0.56082272624098606</v>
      </c>
      <c r="F2105" t="str">
        <f t="shared" si="65"/>
        <v>Poor</v>
      </c>
    </row>
    <row r="2106" spans="1:6" ht="15" hidden="1" customHeight="1" x14ac:dyDescent="0.3">
      <c r="A2106" t="s">
        <v>180</v>
      </c>
      <c r="B2106" s="2">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9">
        <f t="shared" si="64"/>
        <v>0.66762962529197822</v>
      </c>
      <c r="F2106" t="str">
        <f t="shared" si="65"/>
        <v>Poor</v>
      </c>
    </row>
    <row r="2107" spans="1:6" ht="15" hidden="1" customHeight="1" x14ac:dyDescent="0.3">
      <c r="A2107" t="s">
        <v>180</v>
      </c>
      <c r="B2107" s="2">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9">
        <f t="shared" si="64"/>
        <v>0.84808537350910229</v>
      </c>
      <c r="F2107" t="str">
        <f t="shared" si="65"/>
        <v>Moderate</v>
      </c>
    </row>
    <row r="2108" spans="1:6" ht="15" hidden="1" customHeight="1" x14ac:dyDescent="0.3">
      <c r="A2108" t="s">
        <v>180</v>
      </c>
      <c r="B2108" s="2">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9">
        <f t="shared" si="64"/>
        <v>0.9787868501101592</v>
      </c>
      <c r="F2108" t="str">
        <f t="shared" si="65"/>
        <v>Expected</v>
      </c>
    </row>
    <row r="2109" spans="1:6" ht="15" hidden="1" customHeight="1" x14ac:dyDescent="0.3">
      <c r="A2109" t="s">
        <v>180</v>
      </c>
      <c r="B2109" s="2">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9">
        <f t="shared" si="64"/>
        <v>0.93840441367708671</v>
      </c>
      <c r="F2109" t="str">
        <f t="shared" si="65"/>
        <v>Expected</v>
      </c>
    </row>
    <row r="2110" spans="1:6" ht="15" hidden="1" customHeight="1" x14ac:dyDescent="0.3">
      <c r="A2110" t="s">
        <v>180</v>
      </c>
      <c r="B2110" s="2">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9">
        <f t="shared" si="64"/>
        <v>0.86472752759768701</v>
      </c>
      <c r="F2110" t="str">
        <f t="shared" si="65"/>
        <v>Moderate</v>
      </c>
    </row>
    <row r="2111" spans="1:6" ht="15" hidden="1" customHeight="1" x14ac:dyDescent="0.3">
      <c r="A2111" t="s">
        <v>180</v>
      </c>
      <c r="B2111" s="2">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9">
        <f t="shared" si="64"/>
        <v>0.97596500894851712</v>
      </c>
      <c r="F2111" t="str">
        <f t="shared" si="65"/>
        <v>Expected</v>
      </c>
    </row>
    <row r="2112" spans="1:6" ht="15" hidden="1" customHeight="1" x14ac:dyDescent="0.3">
      <c r="A2112" t="s">
        <v>180</v>
      </c>
      <c r="B2112" s="2">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9">
        <f t="shared" si="64"/>
        <v>0.84864058074255</v>
      </c>
      <c r="F2112" t="str">
        <f t="shared" si="65"/>
        <v>Moderate</v>
      </c>
    </row>
    <row r="2113" spans="1:6" ht="15" hidden="1" customHeight="1" x14ac:dyDescent="0.3">
      <c r="A2113" t="s">
        <v>180</v>
      </c>
      <c r="B2113" s="2">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9">
        <f t="shared" si="64"/>
        <v>0.88791150899185511</v>
      </c>
      <c r="F2113" t="str">
        <f t="shared" si="65"/>
        <v>Moderate</v>
      </c>
    </row>
    <row r="2114" spans="1:6" ht="15" hidden="1" customHeight="1" x14ac:dyDescent="0.3">
      <c r="A2114" t="s">
        <v>180</v>
      </c>
      <c r="B2114" s="2">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9">
        <f t="shared" ref="E2114:E2177" si="66">IF(OR(C2114="",D2114="",D2114=0),"",C2114/D2114)</f>
        <v>0.98777609172146352</v>
      </c>
      <c r="F2114" t="str">
        <f t="shared" ref="F2114:F2177" si="67">IF(E2114="","",IF(E2114&gt;=0.9,"Expected",IF(E2114&gt;=0.7,"Moderate","Poor")))</f>
        <v>Expected</v>
      </c>
    </row>
    <row r="2115" spans="1:6" ht="15" hidden="1" customHeight="1" x14ac:dyDescent="0.3">
      <c r="A2115" t="s">
        <v>180</v>
      </c>
      <c r="B2115" s="2">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9">
        <f t="shared" si="66"/>
        <v>1.0632920676838811</v>
      </c>
      <c r="F2115" t="str">
        <f t="shared" si="67"/>
        <v>Expected</v>
      </c>
    </row>
    <row r="2116" spans="1:6" ht="15" hidden="1" customHeight="1" x14ac:dyDescent="0.3">
      <c r="A2116" t="s">
        <v>180</v>
      </c>
      <c r="B2116" s="2">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9">
        <f t="shared" si="66"/>
        <v>0.92678484762062019</v>
      </c>
      <c r="F2116" t="str">
        <f t="shared" si="67"/>
        <v>Expected</v>
      </c>
    </row>
    <row r="2117" spans="1:6" ht="15" hidden="1" customHeight="1" x14ac:dyDescent="0.3">
      <c r="A2117" t="s">
        <v>180</v>
      </c>
      <c r="B2117" s="2">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9">
        <f t="shared" si="66"/>
        <v>0.89509483817272817</v>
      </c>
      <c r="F2117" t="str">
        <f t="shared" si="67"/>
        <v>Moderate</v>
      </c>
    </row>
    <row r="2118" spans="1:6" ht="15" hidden="1" customHeight="1" x14ac:dyDescent="0.3">
      <c r="A2118" t="s">
        <v>180</v>
      </c>
      <c r="B2118" s="2">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9">
        <f t="shared" si="66"/>
        <v>1.0134827220498006</v>
      </c>
      <c r="F2118" t="str">
        <f t="shared" si="67"/>
        <v>Expected</v>
      </c>
    </row>
    <row r="2119" spans="1:6" ht="15" hidden="1" customHeight="1" x14ac:dyDescent="0.3">
      <c r="A2119" t="s">
        <v>180</v>
      </c>
      <c r="B2119" s="2">
        <v>46174</v>
      </c>
      <c r="C2119" cm="1">
        <f t="array" ref="C2119">IFERROR(IF(SUMPRODUCT((measured[Site Name]=A2119)*(measured[Date]=B2119)*ISNUMBER(measured[Measured Value (kWh)]))=0,"",SUMIFS(measured[Measured Value (kWh)],measured[Site Name],A2119,measured[Date],B2119)),"")</f>
        <v>12252.53</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9">
        <f t="shared" si="66"/>
        <v>0.91565255731922401</v>
      </c>
      <c r="F2119" t="str">
        <f t="shared" si="67"/>
        <v>Expected</v>
      </c>
    </row>
    <row r="2120" spans="1:6" ht="15" hidden="1" customHeight="1" x14ac:dyDescent="0.3">
      <c r="A2120" t="s">
        <v>180</v>
      </c>
      <c r="B2120" s="2">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9" t="str">
        <f t="shared" si="66"/>
        <v/>
      </c>
      <c r="F2120" t="str">
        <f t="shared" si="67"/>
        <v/>
      </c>
    </row>
    <row r="2121" spans="1:6" ht="15" hidden="1" customHeight="1" x14ac:dyDescent="0.3">
      <c r="A2121" t="s">
        <v>180</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9" t="str">
        <f t="shared" si="66"/>
        <v/>
      </c>
      <c r="F2121" t="str">
        <f t="shared" si="67"/>
        <v/>
      </c>
    </row>
    <row r="2122" spans="1:6" ht="15" hidden="1" customHeight="1" x14ac:dyDescent="0.3">
      <c r="A2122" t="s">
        <v>180</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9" t="str">
        <f t="shared" si="66"/>
        <v/>
      </c>
      <c r="F2122" t="str">
        <f t="shared" si="67"/>
        <v/>
      </c>
    </row>
    <row r="2123" spans="1:6" ht="15" hidden="1" customHeight="1" x14ac:dyDescent="0.3">
      <c r="A2123" t="s">
        <v>180</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9" t="str">
        <f t="shared" si="66"/>
        <v/>
      </c>
      <c r="F2123" t="str">
        <f t="shared" si="67"/>
        <v/>
      </c>
    </row>
    <row r="2124" spans="1:6" ht="15" hidden="1" customHeight="1" x14ac:dyDescent="0.3">
      <c r="A2124" t="s">
        <v>180</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9" t="str">
        <f t="shared" si="66"/>
        <v/>
      </c>
      <c r="F2124" t="str">
        <f t="shared" si="67"/>
        <v/>
      </c>
    </row>
    <row r="2125" spans="1:6" ht="15" hidden="1" customHeight="1" x14ac:dyDescent="0.3">
      <c r="A2125" t="s">
        <v>180</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9" t="str">
        <f t="shared" si="66"/>
        <v/>
      </c>
      <c r="F2125" t="str">
        <f t="shared" si="67"/>
        <v/>
      </c>
    </row>
    <row r="2126" spans="1:6" ht="15" hidden="1" customHeight="1" x14ac:dyDescent="0.3">
      <c r="A2126" t="s">
        <v>241</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9" t="str">
        <f t="shared" si="66"/>
        <v/>
      </c>
      <c r="F2126" t="str">
        <f t="shared" si="67"/>
        <v/>
      </c>
    </row>
    <row r="2127" spans="1:6" ht="15" hidden="1" customHeight="1" x14ac:dyDescent="0.3">
      <c r="A2127" t="s">
        <v>241</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9" t="str">
        <f t="shared" si="66"/>
        <v/>
      </c>
      <c r="F2127" t="str">
        <f t="shared" si="67"/>
        <v/>
      </c>
    </row>
    <row r="2128" spans="1:6" ht="15" hidden="1" customHeight="1" x14ac:dyDescent="0.3">
      <c r="A2128" t="s">
        <v>241</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9" t="str">
        <f t="shared" si="66"/>
        <v/>
      </c>
      <c r="F2128" t="str">
        <f t="shared" si="67"/>
        <v/>
      </c>
    </row>
    <row r="2129" spans="1:6" ht="15" hidden="1" customHeight="1" x14ac:dyDescent="0.3">
      <c r="A2129" t="s">
        <v>241</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9" t="str">
        <f t="shared" si="66"/>
        <v/>
      </c>
      <c r="F2129" t="str">
        <f t="shared" si="67"/>
        <v/>
      </c>
    </row>
    <row r="2130" spans="1:6" ht="15" hidden="1" customHeight="1" x14ac:dyDescent="0.3">
      <c r="A2130" t="s">
        <v>241</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9" t="str">
        <f t="shared" si="66"/>
        <v/>
      </c>
      <c r="F2130" t="str">
        <f t="shared" si="67"/>
        <v/>
      </c>
    </row>
    <row r="2131" spans="1:6" ht="15" hidden="1" customHeight="1" x14ac:dyDescent="0.3">
      <c r="A2131" t="s">
        <v>241</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9" t="str">
        <f t="shared" si="66"/>
        <v/>
      </c>
      <c r="F2131" t="str">
        <f t="shared" si="67"/>
        <v/>
      </c>
    </row>
    <row r="2132" spans="1:6" ht="15" hidden="1" customHeight="1" x14ac:dyDescent="0.3">
      <c r="A2132" t="s">
        <v>241</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9" t="str">
        <f t="shared" si="66"/>
        <v/>
      </c>
      <c r="F2132" t="str">
        <f t="shared" si="67"/>
        <v/>
      </c>
    </row>
    <row r="2133" spans="1:6" ht="15" hidden="1" customHeight="1" x14ac:dyDescent="0.3">
      <c r="A2133" t="s">
        <v>241</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9" t="str">
        <f t="shared" si="66"/>
        <v/>
      </c>
      <c r="F2133" t="str">
        <f t="shared" si="67"/>
        <v/>
      </c>
    </row>
    <row r="2134" spans="1:6" ht="15" hidden="1" customHeight="1" x14ac:dyDescent="0.3">
      <c r="A2134" t="s">
        <v>241</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9" t="str">
        <f t="shared" si="66"/>
        <v/>
      </c>
      <c r="F2134" t="str">
        <f t="shared" si="67"/>
        <v/>
      </c>
    </row>
    <row r="2135" spans="1:6" ht="15" hidden="1" customHeight="1" x14ac:dyDescent="0.3">
      <c r="A2135" t="s">
        <v>241</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9" t="str">
        <f t="shared" si="66"/>
        <v/>
      </c>
      <c r="F2135" t="str">
        <f t="shared" si="67"/>
        <v/>
      </c>
    </row>
    <row r="2136" spans="1:6" ht="15" hidden="1" customHeight="1" x14ac:dyDescent="0.3">
      <c r="A2136" t="s">
        <v>241</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9" t="str">
        <f t="shared" si="66"/>
        <v/>
      </c>
      <c r="F2136" t="str">
        <f t="shared" si="67"/>
        <v/>
      </c>
    </row>
    <row r="2137" spans="1:6" ht="15" hidden="1" customHeight="1" x14ac:dyDescent="0.3">
      <c r="A2137" t="s">
        <v>241</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9" t="str">
        <f t="shared" si="66"/>
        <v/>
      </c>
      <c r="F2137" t="str">
        <f t="shared" si="67"/>
        <v/>
      </c>
    </row>
    <row r="2138" spans="1:6" ht="15" hidden="1" customHeight="1" x14ac:dyDescent="0.3">
      <c r="A2138" t="s">
        <v>241</v>
      </c>
      <c r="B2138" s="2">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9" t="str">
        <f t="shared" si="66"/>
        <v/>
      </c>
      <c r="F2138" t="str">
        <f t="shared" si="67"/>
        <v/>
      </c>
    </row>
    <row r="2139" spans="1:6" ht="15" hidden="1" customHeight="1" x14ac:dyDescent="0.3">
      <c r="A2139" t="s">
        <v>241</v>
      </c>
      <c r="B2139" s="2">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9" t="str">
        <f t="shared" si="66"/>
        <v/>
      </c>
      <c r="F2139" t="str">
        <f t="shared" si="67"/>
        <v/>
      </c>
    </row>
    <row r="2140" spans="1:6" ht="15" hidden="1" customHeight="1" x14ac:dyDescent="0.3">
      <c r="A2140" t="s">
        <v>241</v>
      </c>
      <c r="B2140" s="2">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9" t="str">
        <f t="shared" si="66"/>
        <v/>
      </c>
      <c r="F2140" t="str">
        <f t="shared" si="67"/>
        <v/>
      </c>
    </row>
    <row r="2141" spans="1:6" ht="15" hidden="1" customHeight="1" x14ac:dyDescent="0.3">
      <c r="A2141" t="s">
        <v>241</v>
      </c>
      <c r="B2141" s="2">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9" t="str">
        <f t="shared" si="66"/>
        <v/>
      </c>
      <c r="F2141" t="str">
        <f t="shared" si="67"/>
        <v/>
      </c>
    </row>
    <row r="2142" spans="1:6" ht="15" hidden="1" customHeight="1" x14ac:dyDescent="0.3">
      <c r="A2142" t="s">
        <v>241</v>
      </c>
      <c r="B2142" s="2">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9" t="str">
        <f t="shared" si="66"/>
        <v/>
      </c>
      <c r="F2142" t="str">
        <f t="shared" si="67"/>
        <v/>
      </c>
    </row>
    <row r="2143" spans="1:6" ht="15" hidden="1" customHeight="1" x14ac:dyDescent="0.3">
      <c r="A2143" t="s">
        <v>241</v>
      </c>
      <c r="B2143" s="2">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9" t="str">
        <f t="shared" si="66"/>
        <v/>
      </c>
      <c r="F2143" t="str">
        <f t="shared" si="67"/>
        <v/>
      </c>
    </row>
    <row r="2144" spans="1:6" ht="15" hidden="1" customHeight="1" x14ac:dyDescent="0.3">
      <c r="A2144" t="s">
        <v>241</v>
      </c>
      <c r="B2144" s="2">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9" t="str">
        <f t="shared" si="66"/>
        <v/>
      </c>
      <c r="F2144" t="str">
        <f t="shared" si="67"/>
        <v/>
      </c>
    </row>
    <row r="2145" spans="1:6" ht="15" hidden="1" customHeight="1" x14ac:dyDescent="0.3">
      <c r="A2145" t="s">
        <v>241</v>
      </c>
      <c r="B2145" s="2">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9" t="str">
        <f t="shared" si="66"/>
        <v/>
      </c>
      <c r="F2145" t="str">
        <f t="shared" si="67"/>
        <v/>
      </c>
    </row>
    <row r="2146" spans="1:6" ht="15" hidden="1" customHeight="1" x14ac:dyDescent="0.3">
      <c r="A2146" t="s">
        <v>241</v>
      </c>
      <c r="B2146" s="2">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9" t="str">
        <f t="shared" si="66"/>
        <v/>
      </c>
      <c r="F2146" t="str">
        <f t="shared" si="67"/>
        <v/>
      </c>
    </row>
    <row r="2147" spans="1:6" ht="15" hidden="1" customHeight="1" x14ac:dyDescent="0.3">
      <c r="A2147" t="s">
        <v>241</v>
      </c>
      <c r="B2147" s="2">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9" t="str">
        <f t="shared" si="66"/>
        <v/>
      </c>
      <c r="F2147" t="str">
        <f t="shared" si="67"/>
        <v/>
      </c>
    </row>
    <row r="2148" spans="1:6" ht="15" hidden="1" customHeight="1" x14ac:dyDescent="0.3">
      <c r="A2148" t="s">
        <v>241</v>
      </c>
      <c r="B2148" s="2">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9" t="str">
        <f t="shared" si="66"/>
        <v/>
      </c>
      <c r="F2148" t="str">
        <f t="shared" si="67"/>
        <v/>
      </c>
    </row>
    <row r="2149" spans="1:6" ht="15" hidden="1" customHeight="1" x14ac:dyDescent="0.3">
      <c r="A2149" t="s">
        <v>241</v>
      </c>
      <c r="B2149" s="2">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9" t="str">
        <f t="shared" si="66"/>
        <v/>
      </c>
      <c r="F2149" t="str">
        <f t="shared" si="67"/>
        <v/>
      </c>
    </row>
    <row r="2150" spans="1:6" ht="15" hidden="1" customHeight="1" x14ac:dyDescent="0.3">
      <c r="A2150" t="s">
        <v>241</v>
      </c>
      <c r="B2150" s="2">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9" t="str">
        <f t="shared" si="66"/>
        <v/>
      </c>
      <c r="F2150" t="str">
        <f t="shared" si="67"/>
        <v/>
      </c>
    </row>
    <row r="2151" spans="1:6" ht="15" hidden="1" customHeight="1" x14ac:dyDescent="0.3">
      <c r="A2151" t="s">
        <v>241</v>
      </c>
      <c r="B2151" s="2">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9" t="str">
        <f t="shared" si="66"/>
        <v/>
      </c>
      <c r="F2151" t="str">
        <f t="shared" si="67"/>
        <v/>
      </c>
    </row>
    <row r="2152" spans="1:6" ht="15" hidden="1" customHeight="1" x14ac:dyDescent="0.3">
      <c r="A2152" t="s">
        <v>241</v>
      </c>
      <c r="B2152" s="2">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9">
        <f t="shared" si="66"/>
        <v>0.42918197624125315</v>
      </c>
      <c r="F2152" t="str">
        <f t="shared" si="67"/>
        <v>Poor</v>
      </c>
    </row>
    <row r="2153" spans="1:6" ht="15" hidden="1" customHeight="1" x14ac:dyDescent="0.3">
      <c r="A2153" t="s">
        <v>241</v>
      </c>
      <c r="B2153" s="2">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9">
        <f t="shared" si="66"/>
        <v>0.57885484706320123</v>
      </c>
      <c r="F2153" t="str">
        <f t="shared" si="67"/>
        <v>Poor</v>
      </c>
    </row>
    <row r="2154" spans="1:6" ht="15" hidden="1" customHeight="1" x14ac:dyDescent="0.3">
      <c r="A2154" t="s">
        <v>241</v>
      </c>
      <c r="B2154" s="2">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9">
        <f t="shared" si="66"/>
        <v>0.82891977030537667</v>
      </c>
      <c r="F2154" t="str">
        <f t="shared" si="67"/>
        <v>Moderate</v>
      </c>
    </row>
    <row r="2155" spans="1:6" ht="15" hidden="1" customHeight="1" x14ac:dyDescent="0.3">
      <c r="A2155" t="s">
        <v>241</v>
      </c>
      <c r="B2155" s="2">
        <v>46174</v>
      </c>
      <c r="C2155" cm="1">
        <f t="array" ref="C2155">IFERROR(IF(SUMPRODUCT((measured[Site Name]=A2155)*(measured[Date]=B2155)*ISNUMBER(measured[Measured Value (kWh)]))=0,"",SUMIFS(measured[Measured Value (kWh)],measured[Site Name],A2155,measured[Date],B2155)),"")</f>
        <v>12264.7</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9">
        <f t="shared" si="66"/>
        <v>0.79114336397355267</v>
      </c>
      <c r="F2155" t="str">
        <f t="shared" si="67"/>
        <v>Moderate</v>
      </c>
    </row>
    <row r="2156" spans="1:6" ht="15" hidden="1" customHeight="1" x14ac:dyDescent="0.3">
      <c r="A2156" t="s">
        <v>241</v>
      </c>
      <c r="B2156" s="2">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9" t="str">
        <f t="shared" si="66"/>
        <v/>
      </c>
      <c r="F2156" t="str">
        <f t="shared" si="67"/>
        <v/>
      </c>
    </row>
    <row r="2157" spans="1:6" ht="15" hidden="1" customHeight="1" x14ac:dyDescent="0.3">
      <c r="A2157" t="s">
        <v>241</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9" t="str">
        <f t="shared" si="66"/>
        <v/>
      </c>
      <c r="F2157" t="str">
        <f t="shared" si="67"/>
        <v/>
      </c>
    </row>
    <row r="2158" spans="1:6" ht="15" hidden="1" customHeight="1" x14ac:dyDescent="0.3">
      <c r="A2158" t="s">
        <v>241</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9" t="str">
        <f t="shared" si="66"/>
        <v/>
      </c>
      <c r="F2158" t="str">
        <f t="shared" si="67"/>
        <v/>
      </c>
    </row>
    <row r="2159" spans="1:6" ht="15" hidden="1" customHeight="1" x14ac:dyDescent="0.3">
      <c r="A2159" t="s">
        <v>241</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9" t="str">
        <f t="shared" si="66"/>
        <v/>
      </c>
      <c r="F2159" t="str">
        <f t="shared" si="67"/>
        <v/>
      </c>
    </row>
    <row r="2160" spans="1:6" ht="15" hidden="1" customHeight="1" x14ac:dyDescent="0.3">
      <c r="A2160" t="s">
        <v>241</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9" t="str">
        <f t="shared" si="66"/>
        <v/>
      </c>
      <c r="F2160" t="str">
        <f t="shared" si="67"/>
        <v/>
      </c>
    </row>
    <row r="2161" spans="1:6" ht="15" hidden="1" customHeight="1" x14ac:dyDescent="0.3">
      <c r="A2161" t="s">
        <v>241</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9" t="str">
        <f t="shared" si="66"/>
        <v/>
      </c>
      <c r="F2161" t="str">
        <f t="shared" si="67"/>
        <v/>
      </c>
    </row>
    <row r="2162" spans="1:6" ht="15" hidden="1" customHeight="1" x14ac:dyDescent="0.3">
      <c r="A2162" t="s">
        <v>182</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9" t="str">
        <f t="shared" si="66"/>
        <v/>
      </c>
      <c r="F2162" t="str">
        <f t="shared" si="67"/>
        <v/>
      </c>
    </row>
    <row r="2163" spans="1:6" ht="15" hidden="1" customHeight="1" x14ac:dyDescent="0.3">
      <c r="A2163" t="s">
        <v>182</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9" t="str">
        <f t="shared" si="66"/>
        <v/>
      </c>
      <c r="F2163" t="str">
        <f t="shared" si="67"/>
        <v/>
      </c>
    </row>
    <row r="2164" spans="1:6" ht="15" hidden="1" customHeight="1" x14ac:dyDescent="0.3">
      <c r="A2164" t="s">
        <v>182</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9" t="str">
        <f t="shared" si="66"/>
        <v/>
      </c>
      <c r="F2164" t="str">
        <f t="shared" si="67"/>
        <v/>
      </c>
    </row>
    <row r="2165" spans="1:6" ht="15" hidden="1" customHeight="1" x14ac:dyDescent="0.3">
      <c r="A2165" t="s">
        <v>182</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9" t="str">
        <f t="shared" si="66"/>
        <v/>
      </c>
      <c r="F2165" t="str">
        <f t="shared" si="67"/>
        <v/>
      </c>
    </row>
    <row r="2166" spans="1:6" ht="15" hidden="1" customHeight="1" x14ac:dyDescent="0.3">
      <c r="A2166" t="s">
        <v>182</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9" t="str">
        <f t="shared" si="66"/>
        <v/>
      </c>
      <c r="F2166" t="str">
        <f t="shared" si="67"/>
        <v/>
      </c>
    </row>
    <row r="2167" spans="1:6" ht="15" hidden="1" customHeight="1" x14ac:dyDescent="0.3">
      <c r="A2167" t="s">
        <v>182</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9" t="str">
        <f t="shared" si="66"/>
        <v/>
      </c>
      <c r="F2167" t="str">
        <f t="shared" si="67"/>
        <v/>
      </c>
    </row>
    <row r="2168" spans="1:6" ht="15" hidden="1" customHeight="1" x14ac:dyDescent="0.3">
      <c r="A2168" t="s">
        <v>182</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9" t="str">
        <f t="shared" si="66"/>
        <v/>
      </c>
      <c r="F2168" t="str">
        <f t="shared" si="67"/>
        <v/>
      </c>
    </row>
    <row r="2169" spans="1:6" ht="15" hidden="1" customHeight="1" x14ac:dyDescent="0.3">
      <c r="A2169" t="s">
        <v>182</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9" t="str">
        <f t="shared" si="66"/>
        <v/>
      </c>
      <c r="F2169" t="str">
        <f t="shared" si="67"/>
        <v/>
      </c>
    </row>
    <row r="2170" spans="1:6" ht="15" hidden="1" customHeight="1" x14ac:dyDescent="0.3">
      <c r="A2170" t="s">
        <v>182</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9" t="str">
        <f t="shared" si="66"/>
        <v/>
      </c>
      <c r="F2170" t="str">
        <f t="shared" si="67"/>
        <v/>
      </c>
    </row>
    <row r="2171" spans="1:6" ht="15" hidden="1" customHeight="1" x14ac:dyDescent="0.3">
      <c r="A2171" t="s">
        <v>182</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9" t="str">
        <f t="shared" si="66"/>
        <v/>
      </c>
      <c r="F2171" t="str">
        <f t="shared" si="67"/>
        <v/>
      </c>
    </row>
    <row r="2172" spans="1:6" ht="15" hidden="1" customHeight="1" x14ac:dyDescent="0.3">
      <c r="A2172" t="s">
        <v>182</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9" t="str">
        <f t="shared" si="66"/>
        <v/>
      </c>
      <c r="F2172" t="str">
        <f t="shared" si="67"/>
        <v/>
      </c>
    </row>
    <row r="2173" spans="1:6" ht="15" hidden="1" customHeight="1" x14ac:dyDescent="0.3">
      <c r="A2173" t="s">
        <v>182</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9" t="str">
        <f t="shared" si="66"/>
        <v/>
      </c>
      <c r="F2173" t="str">
        <f t="shared" si="67"/>
        <v/>
      </c>
    </row>
    <row r="2174" spans="1:6" ht="15" hidden="1" customHeight="1" x14ac:dyDescent="0.3">
      <c r="A2174" t="s">
        <v>182</v>
      </c>
      <c r="B2174" s="2">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9">
        <f t="shared" si="66"/>
        <v>0.91905284067562532</v>
      </c>
      <c r="F2174" t="str">
        <f t="shared" si="67"/>
        <v>Expected</v>
      </c>
    </row>
    <row r="2175" spans="1:6" ht="15" hidden="1" customHeight="1" x14ac:dyDescent="0.3">
      <c r="A2175" t="s">
        <v>182</v>
      </c>
      <c r="B2175" s="2">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9">
        <f t="shared" si="66"/>
        <v>0.7495111883554203</v>
      </c>
      <c r="F2175" t="str">
        <f t="shared" si="67"/>
        <v>Moderate</v>
      </c>
    </row>
    <row r="2176" spans="1:6" ht="15" hidden="1" customHeight="1" x14ac:dyDescent="0.3">
      <c r="A2176" t="s">
        <v>182</v>
      </c>
      <c r="B2176" s="2">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9">
        <f t="shared" si="66"/>
        <v>0.60964615422557011</v>
      </c>
      <c r="F2176" t="str">
        <f t="shared" si="67"/>
        <v>Poor</v>
      </c>
    </row>
    <row r="2177" spans="1:6" ht="15" hidden="1" customHeight="1" x14ac:dyDescent="0.3">
      <c r="A2177" t="s">
        <v>182</v>
      </c>
      <c r="B2177" s="2">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9">
        <f t="shared" si="66"/>
        <v>0.61433469409099972</v>
      </c>
      <c r="F2177" t="str">
        <f t="shared" si="67"/>
        <v>Poor</v>
      </c>
    </row>
    <row r="2178" spans="1:6" ht="15" hidden="1" customHeight="1" x14ac:dyDescent="0.3">
      <c r="A2178" t="s">
        <v>182</v>
      </c>
      <c r="B2178" s="2">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9">
        <f t="shared" ref="E2178:E2241" si="68">IF(OR(C2178="",D2178="",D2178=0),"",C2178/D2178)</f>
        <v>0.70266836086404061</v>
      </c>
      <c r="F2178" t="str">
        <f t="shared" ref="F2178:F2241" si="69">IF(E2178="","",IF(E2178&gt;=0.9,"Expected",IF(E2178&gt;=0.7,"Moderate","Poor")))</f>
        <v>Moderate</v>
      </c>
    </row>
    <row r="2179" spans="1:6" ht="15" hidden="1" customHeight="1" x14ac:dyDescent="0.3">
      <c r="A2179" t="s">
        <v>182</v>
      </c>
      <c r="B2179" s="2">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9">
        <f t="shared" si="68"/>
        <v>0.64894955292912404</v>
      </c>
      <c r="F2179" t="str">
        <f t="shared" si="69"/>
        <v>Poor</v>
      </c>
    </row>
    <row r="2180" spans="1:6" ht="15" hidden="1" customHeight="1" x14ac:dyDescent="0.3">
      <c r="A2180" t="s">
        <v>182</v>
      </c>
      <c r="B2180" s="2">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9">
        <f t="shared" si="68"/>
        <v>0.63337750239296375</v>
      </c>
      <c r="F2180" t="str">
        <f t="shared" si="69"/>
        <v>Poor</v>
      </c>
    </row>
    <row r="2181" spans="1:6" ht="15" hidden="1" customHeight="1" x14ac:dyDescent="0.3">
      <c r="A2181" t="s">
        <v>182</v>
      </c>
      <c r="B2181" s="2">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9">
        <f t="shared" si="68"/>
        <v>0.69184988527775093</v>
      </c>
      <c r="F2181" t="str">
        <f t="shared" si="69"/>
        <v>Poor</v>
      </c>
    </row>
    <row r="2182" spans="1:6" ht="15" hidden="1" customHeight="1" x14ac:dyDescent="0.3">
      <c r="A2182" t="s">
        <v>182</v>
      </c>
      <c r="B2182" s="2">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9">
        <f t="shared" si="68"/>
        <v>0.67744609844064363</v>
      </c>
      <c r="F2182" t="str">
        <f t="shared" si="69"/>
        <v>Poor</v>
      </c>
    </row>
    <row r="2183" spans="1:6" ht="15" hidden="1" customHeight="1" x14ac:dyDescent="0.3">
      <c r="A2183" t="s">
        <v>182</v>
      </c>
      <c r="B2183" s="2">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9">
        <f t="shared" si="68"/>
        <v>0.9179216885853021</v>
      </c>
      <c r="F2183" t="str">
        <f t="shared" si="69"/>
        <v>Expected</v>
      </c>
    </row>
    <row r="2184" spans="1:6" ht="15" hidden="1" customHeight="1" x14ac:dyDescent="0.3">
      <c r="A2184" t="s">
        <v>182</v>
      </c>
      <c r="B2184" s="2">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9">
        <f t="shared" si="68"/>
        <v>0.74565086098958566</v>
      </c>
      <c r="F2184" t="str">
        <f t="shared" si="69"/>
        <v>Moderate</v>
      </c>
    </row>
    <row r="2185" spans="1:6" ht="15" hidden="1" customHeight="1" x14ac:dyDescent="0.3">
      <c r="A2185" t="s">
        <v>182</v>
      </c>
      <c r="B2185" s="2">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9">
        <f t="shared" si="68"/>
        <v>0.79888495421603101</v>
      </c>
      <c r="F2185" t="str">
        <f t="shared" si="69"/>
        <v>Moderate</v>
      </c>
    </row>
    <row r="2186" spans="1:6" ht="15" hidden="1" customHeight="1" x14ac:dyDescent="0.3">
      <c r="A2186" t="s">
        <v>182</v>
      </c>
      <c r="B2186" s="2">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9">
        <f t="shared" si="68"/>
        <v>0.9120019061836695</v>
      </c>
      <c r="F2186" t="str">
        <f t="shared" si="69"/>
        <v>Expected</v>
      </c>
    </row>
    <row r="2187" spans="1:6" ht="15" hidden="1" customHeight="1" x14ac:dyDescent="0.3">
      <c r="A2187" t="s">
        <v>182</v>
      </c>
      <c r="B2187" s="2">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9">
        <f t="shared" si="68"/>
        <v>0.88018776084247108</v>
      </c>
      <c r="F2187" t="str">
        <f t="shared" si="69"/>
        <v>Moderate</v>
      </c>
    </row>
    <row r="2188" spans="1:6" ht="15" hidden="1" customHeight="1" x14ac:dyDescent="0.3">
      <c r="A2188" t="s">
        <v>182</v>
      </c>
      <c r="B2188" s="2">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9">
        <f t="shared" si="68"/>
        <v>0.64121359263207212</v>
      </c>
      <c r="F2188" t="str">
        <f t="shared" si="69"/>
        <v>Poor</v>
      </c>
    </row>
    <row r="2189" spans="1:6" ht="15" hidden="1" customHeight="1" x14ac:dyDescent="0.3">
      <c r="A2189" t="s">
        <v>182</v>
      </c>
      <c r="B2189" s="2">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9">
        <f t="shared" si="68"/>
        <v>0.57517625025738905</v>
      </c>
      <c r="F2189" t="str">
        <f t="shared" si="69"/>
        <v>Poor</v>
      </c>
    </row>
    <row r="2190" spans="1:6" ht="15" hidden="1" customHeight="1" x14ac:dyDescent="0.3">
      <c r="A2190" t="s">
        <v>182</v>
      </c>
      <c r="B2190" s="2">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9">
        <f t="shared" si="68"/>
        <v>0.5603056242894402</v>
      </c>
      <c r="F2190" t="str">
        <f t="shared" si="69"/>
        <v>Poor</v>
      </c>
    </row>
    <row r="2191" spans="1:6" ht="15" hidden="1" customHeight="1" x14ac:dyDescent="0.3">
      <c r="A2191" t="s">
        <v>182</v>
      </c>
      <c r="B2191" s="2">
        <v>46174</v>
      </c>
      <c r="C2191" cm="1">
        <f t="array" ref="C2191">IFERROR(IF(SUMPRODUCT((measured[Site Name]=A2191)*(measured[Date]=B2191)*ISNUMBER(measured[Measured Value (kWh)]))=0,"",SUMIFS(measured[Measured Value (kWh)],measured[Site Name],A2191,measured[Date],B2191)),"")</f>
        <v>6213.16</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9">
        <f t="shared" si="68"/>
        <v>0.4680240747855039</v>
      </c>
      <c r="F2191" t="str">
        <f t="shared" si="69"/>
        <v>Poor</v>
      </c>
    </row>
    <row r="2192" spans="1:6" ht="15" hidden="1" customHeight="1" x14ac:dyDescent="0.3">
      <c r="A2192" t="s">
        <v>182</v>
      </c>
      <c r="B2192" s="2">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9" t="str">
        <f t="shared" si="68"/>
        <v/>
      </c>
      <c r="F2192" t="str">
        <f t="shared" si="69"/>
        <v/>
      </c>
    </row>
    <row r="2193" spans="1:6" ht="15" hidden="1" customHeight="1" x14ac:dyDescent="0.3">
      <c r="A2193" t="s">
        <v>182</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9" t="str">
        <f t="shared" si="68"/>
        <v/>
      </c>
      <c r="F2193" t="str">
        <f t="shared" si="69"/>
        <v/>
      </c>
    </row>
    <row r="2194" spans="1:6" ht="15" hidden="1" customHeight="1" x14ac:dyDescent="0.3">
      <c r="A2194" t="s">
        <v>182</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9" t="str">
        <f t="shared" si="68"/>
        <v/>
      </c>
      <c r="F2194" t="str">
        <f t="shared" si="69"/>
        <v/>
      </c>
    </row>
    <row r="2195" spans="1:6" ht="15" hidden="1" customHeight="1" x14ac:dyDescent="0.3">
      <c r="A2195" t="s">
        <v>182</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9" t="str">
        <f t="shared" si="68"/>
        <v/>
      </c>
      <c r="F2195" t="str">
        <f t="shared" si="69"/>
        <v/>
      </c>
    </row>
    <row r="2196" spans="1:6" ht="15" hidden="1" customHeight="1" x14ac:dyDescent="0.3">
      <c r="A2196" t="s">
        <v>182</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9" t="str">
        <f t="shared" si="68"/>
        <v/>
      </c>
      <c r="F2196" t="str">
        <f t="shared" si="69"/>
        <v/>
      </c>
    </row>
    <row r="2197" spans="1:6" ht="15" hidden="1" customHeight="1" x14ac:dyDescent="0.3">
      <c r="A2197" t="s">
        <v>182</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9" t="str">
        <f t="shared" si="68"/>
        <v/>
      </c>
      <c r="F2197" t="str">
        <f t="shared" si="69"/>
        <v/>
      </c>
    </row>
    <row r="2198" spans="1:6" ht="15" hidden="1" customHeight="1" x14ac:dyDescent="0.3">
      <c r="A2198" t="s">
        <v>184</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9" t="str">
        <f t="shared" si="68"/>
        <v/>
      </c>
      <c r="F2198" t="str">
        <f t="shared" si="69"/>
        <v/>
      </c>
    </row>
    <row r="2199" spans="1:6" ht="15" hidden="1" customHeight="1" x14ac:dyDescent="0.3">
      <c r="A2199" t="s">
        <v>184</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9" t="str">
        <f t="shared" si="68"/>
        <v/>
      </c>
      <c r="F2199" t="str">
        <f t="shared" si="69"/>
        <v/>
      </c>
    </row>
    <row r="2200" spans="1:6" ht="15" hidden="1" customHeight="1" x14ac:dyDescent="0.3">
      <c r="A2200" t="s">
        <v>184</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9" t="str">
        <f t="shared" si="68"/>
        <v/>
      </c>
      <c r="F2200" t="str">
        <f t="shared" si="69"/>
        <v/>
      </c>
    </row>
    <row r="2201" spans="1:6" ht="15" hidden="1" customHeight="1" x14ac:dyDescent="0.3">
      <c r="A2201" t="s">
        <v>184</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9" t="str">
        <f t="shared" si="68"/>
        <v/>
      </c>
      <c r="F2201" t="str">
        <f t="shared" si="69"/>
        <v/>
      </c>
    </row>
    <row r="2202" spans="1:6" ht="15" hidden="1" customHeight="1" x14ac:dyDescent="0.3">
      <c r="A2202" t="s">
        <v>184</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9" t="str">
        <f t="shared" si="68"/>
        <v/>
      </c>
      <c r="F2202" t="str">
        <f t="shared" si="69"/>
        <v/>
      </c>
    </row>
    <row r="2203" spans="1:6" ht="15" hidden="1" customHeight="1" x14ac:dyDescent="0.3">
      <c r="A2203" t="s">
        <v>184</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9" t="str">
        <f t="shared" si="68"/>
        <v/>
      </c>
      <c r="F2203" t="str">
        <f t="shared" si="69"/>
        <v/>
      </c>
    </row>
    <row r="2204" spans="1:6" ht="15" hidden="1" customHeight="1" x14ac:dyDescent="0.3">
      <c r="A2204" t="s">
        <v>184</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9" t="str">
        <f t="shared" si="68"/>
        <v/>
      </c>
      <c r="F2204" t="str">
        <f t="shared" si="69"/>
        <v/>
      </c>
    </row>
    <row r="2205" spans="1:6" ht="15" hidden="1" customHeight="1" x14ac:dyDescent="0.3">
      <c r="A2205" t="s">
        <v>184</v>
      </c>
      <c r="B2205" s="2">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9" t="str">
        <f t="shared" si="68"/>
        <v/>
      </c>
      <c r="F2205" t="str">
        <f t="shared" si="69"/>
        <v/>
      </c>
    </row>
    <row r="2206" spans="1:6" ht="15" hidden="1" customHeight="1" x14ac:dyDescent="0.3">
      <c r="A2206" t="s">
        <v>184</v>
      </c>
      <c r="B2206" s="2">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9" t="str">
        <f t="shared" si="68"/>
        <v/>
      </c>
      <c r="F2206" t="str">
        <f t="shared" si="69"/>
        <v/>
      </c>
    </row>
    <row r="2207" spans="1:6" ht="15" hidden="1" customHeight="1" x14ac:dyDescent="0.3">
      <c r="A2207" t="s">
        <v>184</v>
      </c>
      <c r="B2207" s="2">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9" t="str">
        <f t="shared" si="68"/>
        <v/>
      </c>
      <c r="F2207" t="str">
        <f t="shared" si="69"/>
        <v/>
      </c>
    </row>
    <row r="2208" spans="1:6" ht="15" hidden="1" customHeight="1" x14ac:dyDescent="0.3">
      <c r="A2208" t="s">
        <v>184</v>
      </c>
      <c r="B2208" s="2">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9" t="str">
        <f t="shared" si="68"/>
        <v/>
      </c>
      <c r="F2208" t="str">
        <f t="shared" si="69"/>
        <v/>
      </c>
    </row>
    <row r="2209" spans="1:6" ht="15" hidden="1" customHeight="1" x14ac:dyDescent="0.3">
      <c r="A2209" t="s">
        <v>184</v>
      </c>
      <c r="B2209" s="2">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9" t="str">
        <f t="shared" si="68"/>
        <v/>
      </c>
      <c r="F2209" t="str">
        <f t="shared" si="69"/>
        <v/>
      </c>
    </row>
    <row r="2210" spans="1:6" ht="15" hidden="1" customHeight="1" x14ac:dyDescent="0.3">
      <c r="A2210" t="s">
        <v>184</v>
      </c>
      <c r="B2210" s="2">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9">
        <f t="shared" si="68"/>
        <v>0.88234666894139724</v>
      </c>
      <c r="F2210" t="str">
        <f t="shared" si="69"/>
        <v>Moderate</v>
      </c>
    </row>
    <row r="2211" spans="1:6" ht="15" hidden="1" customHeight="1" x14ac:dyDescent="0.3">
      <c r="A2211" t="s">
        <v>184</v>
      </c>
      <c r="B2211" s="2">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9">
        <f t="shared" si="68"/>
        <v>0.79936563368549207</v>
      </c>
      <c r="F2211" t="str">
        <f t="shared" si="69"/>
        <v>Moderate</v>
      </c>
    </row>
    <row r="2212" spans="1:6" ht="15" hidden="1" customHeight="1" x14ac:dyDescent="0.3">
      <c r="A2212" t="s">
        <v>184</v>
      </c>
      <c r="B2212" s="2">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9">
        <f t="shared" si="68"/>
        <v>0.81231953996168704</v>
      </c>
      <c r="F2212" t="str">
        <f t="shared" si="69"/>
        <v>Moderate</v>
      </c>
    </row>
    <row r="2213" spans="1:6" ht="15" hidden="1" customHeight="1" x14ac:dyDescent="0.3">
      <c r="A2213" t="s">
        <v>184</v>
      </c>
      <c r="B2213" s="2">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9">
        <f t="shared" si="68"/>
        <v>0.75655008022555537</v>
      </c>
      <c r="F2213" t="str">
        <f t="shared" si="69"/>
        <v>Moderate</v>
      </c>
    </row>
    <row r="2214" spans="1:6" ht="15" hidden="1" customHeight="1" x14ac:dyDescent="0.3">
      <c r="A2214" t="s">
        <v>184</v>
      </c>
      <c r="B2214" s="2">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9">
        <f t="shared" si="68"/>
        <v>1.0178289530551248</v>
      </c>
      <c r="F2214" t="str">
        <f t="shared" si="69"/>
        <v>Expected</v>
      </c>
    </row>
    <row r="2215" spans="1:6" ht="15" hidden="1" customHeight="1" x14ac:dyDescent="0.3">
      <c r="A2215" t="s">
        <v>184</v>
      </c>
      <c r="B2215" s="2">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9">
        <f t="shared" si="68"/>
        <v>0.97016788794125219</v>
      </c>
      <c r="F2215" t="str">
        <f t="shared" si="69"/>
        <v>Expected</v>
      </c>
    </row>
    <row r="2216" spans="1:6" ht="15" hidden="1" customHeight="1" x14ac:dyDescent="0.3">
      <c r="A2216" t="s">
        <v>184</v>
      </c>
      <c r="B2216" s="2">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9">
        <f t="shared" si="68"/>
        <v>0.887308193785177</v>
      </c>
      <c r="F2216" t="str">
        <f t="shared" si="69"/>
        <v>Moderate</v>
      </c>
    </row>
    <row r="2217" spans="1:6" ht="15" hidden="1" customHeight="1" x14ac:dyDescent="0.3">
      <c r="A2217" t="s">
        <v>184</v>
      </c>
      <c r="B2217" s="2">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9">
        <f t="shared" si="68"/>
        <v>0.86032240970147533</v>
      </c>
      <c r="F2217" t="str">
        <f t="shared" si="69"/>
        <v>Moderate</v>
      </c>
    </row>
    <row r="2218" spans="1:6" ht="15" hidden="1" customHeight="1" x14ac:dyDescent="0.3">
      <c r="A2218" t="s">
        <v>184</v>
      </c>
      <c r="B2218" s="2">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9">
        <f t="shared" si="68"/>
        <v>0.73271348226264599</v>
      </c>
      <c r="F2218" t="str">
        <f t="shared" si="69"/>
        <v>Moderate</v>
      </c>
    </row>
    <row r="2219" spans="1:6" ht="15" hidden="1" customHeight="1" x14ac:dyDescent="0.3">
      <c r="A2219" t="s">
        <v>184</v>
      </c>
      <c r="B2219" s="2">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9">
        <f t="shared" si="68"/>
        <v>0.85323897721968334</v>
      </c>
      <c r="F2219" t="str">
        <f t="shared" si="69"/>
        <v>Moderate</v>
      </c>
    </row>
    <row r="2220" spans="1:6" ht="15" hidden="1" customHeight="1" x14ac:dyDescent="0.3">
      <c r="A2220" t="s">
        <v>184</v>
      </c>
      <c r="B2220" s="2">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9">
        <f t="shared" si="68"/>
        <v>0.72531611076993163</v>
      </c>
      <c r="F2220" t="str">
        <f t="shared" si="69"/>
        <v>Moderate</v>
      </c>
    </row>
    <row r="2221" spans="1:6" ht="15" hidden="1" customHeight="1" x14ac:dyDescent="0.3">
      <c r="A2221" t="s">
        <v>184</v>
      </c>
      <c r="B2221" s="2">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9">
        <f t="shared" si="68"/>
        <v>0.76346081489071549</v>
      </c>
      <c r="F2221" t="str">
        <f t="shared" si="69"/>
        <v>Moderate</v>
      </c>
    </row>
    <row r="2222" spans="1:6" ht="15" hidden="1" customHeight="1" x14ac:dyDescent="0.3">
      <c r="A2222" t="s">
        <v>184</v>
      </c>
      <c r="B2222" s="2">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9">
        <f t="shared" si="68"/>
        <v>0.9065778810884586</v>
      </c>
      <c r="F2222" t="str">
        <f t="shared" si="69"/>
        <v>Expected</v>
      </c>
    </row>
    <row r="2223" spans="1:6" ht="15" hidden="1" customHeight="1" x14ac:dyDescent="0.3">
      <c r="A2223" t="s">
        <v>184</v>
      </c>
      <c r="B2223" s="2">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9">
        <f t="shared" si="68"/>
        <v>0.78824445209813454</v>
      </c>
      <c r="F2223" t="str">
        <f t="shared" si="69"/>
        <v>Moderate</v>
      </c>
    </row>
    <row r="2224" spans="1:6" ht="15" hidden="1" customHeight="1" x14ac:dyDescent="0.3">
      <c r="A2224" t="s">
        <v>184</v>
      </c>
      <c r="B2224" s="2">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9">
        <f t="shared" si="68"/>
        <v>0.79258898991536575</v>
      </c>
      <c r="F2224" t="str">
        <f t="shared" si="69"/>
        <v>Moderate</v>
      </c>
    </row>
    <row r="2225" spans="1:6" ht="15" hidden="1" customHeight="1" x14ac:dyDescent="0.3">
      <c r="A2225" t="s">
        <v>184</v>
      </c>
      <c r="B2225" s="2">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9">
        <f t="shared" si="68"/>
        <v>0.73093774537071443</v>
      </c>
      <c r="F2225" t="str">
        <f t="shared" si="69"/>
        <v>Moderate</v>
      </c>
    </row>
    <row r="2226" spans="1:6" ht="15" hidden="1" customHeight="1" x14ac:dyDescent="0.3">
      <c r="A2226" t="s">
        <v>184</v>
      </c>
      <c r="B2226" s="2">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9">
        <f t="shared" si="68"/>
        <v>0.81254122860093447</v>
      </c>
      <c r="F2226" t="str">
        <f t="shared" si="69"/>
        <v>Moderate</v>
      </c>
    </row>
    <row r="2227" spans="1:6" ht="15" hidden="1" customHeight="1" x14ac:dyDescent="0.3">
      <c r="A2227" t="s">
        <v>184</v>
      </c>
      <c r="B2227" s="2">
        <v>46174</v>
      </c>
      <c r="C2227" cm="1">
        <f t="array" ref="C2227">IFERROR(IF(SUMPRODUCT((measured[Site Name]=A2227)*(measured[Date]=B2227)*ISNUMBER(measured[Measured Value (kWh)]))=0,"",SUMIFS(measured[Measured Value (kWh)],measured[Site Name],A2227,measured[Date],B2227)),"")</f>
        <v>14774.05</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9">
        <f t="shared" si="68"/>
        <v>0.77828203277686747</v>
      </c>
      <c r="F2227" t="str">
        <f t="shared" si="69"/>
        <v>Moderate</v>
      </c>
    </row>
    <row r="2228" spans="1:6" ht="15" hidden="1" customHeight="1" x14ac:dyDescent="0.3">
      <c r="A2228" t="s">
        <v>184</v>
      </c>
      <c r="B2228" s="2">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9" t="str">
        <f t="shared" si="68"/>
        <v/>
      </c>
      <c r="F2228" t="str">
        <f t="shared" si="69"/>
        <v/>
      </c>
    </row>
    <row r="2229" spans="1:6" ht="15" hidden="1" customHeight="1" x14ac:dyDescent="0.3">
      <c r="A2229" t="s">
        <v>184</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9" t="str">
        <f t="shared" si="68"/>
        <v/>
      </c>
      <c r="F2229" t="str">
        <f t="shared" si="69"/>
        <v/>
      </c>
    </row>
    <row r="2230" spans="1:6" ht="15" hidden="1" customHeight="1" x14ac:dyDescent="0.3">
      <c r="A2230" t="s">
        <v>184</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9" t="str">
        <f t="shared" si="68"/>
        <v/>
      </c>
      <c r="F2230" t="str">
        <f t="shared" si="69"/>
        <v/>
      </c>
    </row>
    <row r="2231" spans="1:6" ht="15" hidden="1" customHeight="1" x14ac:dyDescent="0.3">
      <c r="A2231" t="s">
        <v>184</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9" t="str">
        <f t="shared" si="68"/>
        <v/>
      </c>
      <c r="F2231" t="str">
        <f t="shared" si="69"/>
        <v/>
      </c>
    </row>
    <row r="2232" spans="1:6" ht="15" hidden="1" customHeight="1" x14ac:dyDescent="0.3">
      <c r="A2232" t="s">
        <v>184</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9" t="str">
        <f t="shared" si="68"/>
        <v/>
      </c>
      <c r="F2232" t="str">
        <f t="shared" si="69"/>
        <v/>
      </c>
    </row>
    <row r="2233" spans="1:6" ht="15" hidden="1" customHeight="1" x14ac:dyDescent="0.3">
      <c r="A2233" t="s">
        <v>184</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9" t="str">
        <f t="shared" si="68"/>
        <v/>
      </c>
      <c r="F2233" t="str">
        <f t="shared" si="69"/>
        <v/>
      </c>
    </row>
    <row r="2234" spans="1:6" ht="15" hidden="1" customHeight="1" x14ac:dyDescent="0.3">
      <c r="A2234" t="s">
        <v>186</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9" t="str">
        <f t="shared" si="68"/>
        <v/>
      </c>
      <c r="F2234" t="str">
        <f t="shared" si="69"/>
        <v/>
      </c>
    </row>
    <row r="2235" spans="1:6" ht="15" hidden="1" customHeight="1" x14ac:dyDescent="0.3">
      <c r="A2235" t="s">
        <v>186</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9" t="str">
        <f t="shared" si="68"/>
        <v/>
      </c>
      <c r="F2235" t="str">
        <f t="shared" si="69"/>
        <v/>
      </c>
    </row>
    <row r="2236" spans="1:6" ht="15" hidden="1" customHeight="1" x14ac:dyDescent="0.3">
      <c r="A2236" t="s">
        <v>186</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9" t="str">
        <f t="shared" si="68"/>
        <v/>
      </c>
      <c r="F2236" t="str">
        <f t="shared" si="69"/>
        <v/>
      </c>
    </row>
    <row r="2237" spans="1:6" ht="15" hidden="1" customHeight="1" x14ac:dyDescent="0.3">
      <c r="A2237" t="s">
        <v>186</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9" t="str">
        <f t="shared" si="68"/>
        <v/>
      </c>
      <c r="F2237" t="str">
        <f t="shared" si="69"/>
        <v/>
      </c>
    </row>
    <row r="2238" spans="1:6" ht="15" hidden="1" customHeight="1" x14ac:dyDescent="0.3">
      <c r="A2238" t="s">
        <v>186</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9" t="str">
        <f t="shared" si="68"/>
        <v/>
      </c>
      <c r="F2238" t="str">
        <f t="shared" si="69"/>
        <v/>
      </c>
    </row>
    <row r="2239" spans="1:6" ht="15" hidden="1" customHeight="1" x14ac:dyDescent="0.3">
      <c r="A2239" t="s">
        <v>186</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9" t="str">
        <f t="shared" si="68"/>
        <v/>
      </c>
      <c r="F2239" t="str">
        <f t="shared" si="69"/>
        <v/>
      </c>
    </row>
    <row r="2240" spans="1:6" ht="15" hidden="1" customHeight="1" x14ac:dyDescent="0.3">
      <c r="A2240" t="s">
        <v>186</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9" t="str">
        <f t="shared" si="68"/>
        <v/>
      </c>
      <c r="F2240" t="str">
        <f t="shared" si="69"/>
        <v/>
      </c>
    </row>
    <row r="2241" spans="1:6" ht="15" hidden="1" customHeight="1" x14ac:dyDescent="0.3">
      <c r="A2241" t="s">
        <v>186</v>
      </c>
      <c r="B2241" s="2">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9">
        <f t="shared" si="68"/>
        <v>0.1413000373463314</v>
      </c>
      <c r="F2241" t="str">
        <f t="shared" si="69"/>
        <v>Poor</v>
      </c>
    </row>
    <row r="2242" spans="1:6" ht="15" hidden="1" customHeight="1" x14ac:dyDescent="0.3">
      <c r="A2242" t="s">
        <v>186</v>
      </c>
      <c r="B2242" s="2">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9">
        <f t="shared" ref="E2242:E2305" si="70">IF(OR(C2242="",D2242="",D2242=0),"",C2242/D2242)</f>
        <v>0.83582604495506219</v>
      </c>
      <c r="F2242" t="str">
        <f t="shared" ref="F2242:F2305" si="71">IF(E2242="","",IF(E2242&gt;=0.9,"Expected",IF(E2242&gt;=0.7,"Moderate","Poor")))</f>
        <v>Moderate</v>
      </c>
    </row>
    <row r="2243" spans="1:6" ht="15" hidden="1" customHeight="1" x14ac:dyDescent="0.3">
      <c r="A2243" t="s">
        <v>186</v>
      </c>
      <c r="B2243" s="2">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9">
        <f t="shared" si="70"/>
        <v>0.87903977155855617</v>
      </c>
      <c r="F2243" t="str">
        <f t="shared" si="71"/>
        <v>Moderate</v>
      </c>
    </row>
    <row r="2244" spans="1:6" ht="15" hidden="1" customHeight="1" x14ac:dyDescent="0.3">
      <c r="A2244" t="s">
        <v>186</v>
      </c>
      <c r="B2244" s="2">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9">
        <f t="shared" si="70"/>
        <v>0.83511559221916687</v>
      </c>
      <c r="F2244" t="str">
        <f t="shared" si="71"/>
        <v>Moderate</v>
      </c>
    </row>
    <row r="2245" spans="1:6" ht="15" hidden="1" customHeight="1" x14ac:dyDescent="0.3">
      <c r="A2245" t="s">
        <v>186</v>
      </c>
      <c r="B2245" s="2">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9">
        <f t="shared" si="70"/>
        <v>0.89905397517648478</v>
      </c>
      <c r="F2245" t="str">
        <f t="shared" si="71"/>
        <v>Moderate</v>
      </c>
    </row>
    <row r="2246" spans="1:6" ht="15" hidden="1" customHeight="1" x14ac:dyDescent="0.3">
      <c r="A2246" t="s">
        <v>186</v>
      </c>
      <c r="B2246" s="2">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9">
        <f t="shared" si="70"/>
        <v>0.93617296015542228</v>
      </c>
      <c r="F2246" t="str">
        <f t="shared" si="71"/>
        <v>Expected</v>
      </c>
    </row>
    <row r="2247" spans="1:6" ht="15" hidden="1" customHeight="1" x14ac:dyDescent="0.3">
      <c r="A2247" t="s">
        <v>186</v>
      </c>
      <c r="B2247" s="2">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9">
        <f t="shared" si="70"/>
        <v>0.87967658327698894</v>
      </c>
      <c r="F2247" t="str">
        <f t="shared" si="71"/>
        <v>Moderate</v>
      </c>
    </row>
    <row r="2248" spans="1:6" ht="15" hidden="1" customHeight="1" x14ac:dyDescent="0.3">
      <c r="A2248" t="s">
        <v>186</v>
      </c>
      <c r="B2248" s="2">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9">
        <f t="shared" si="70"/>
        <v>0.83960384987040348</v>
      </c>
      <c r="F2248" t="str">
        <f t="shared" si="71"/>
        <v>Moderate</v>
      </c>
    </row>
    <row r="2249" spans="1:6" ht="15" hidden="1" customHeight="1" x14ac:dyDescent="0.3">
      <c r="A2249" t="s">
        <v>186</v>
      </c>
      <c r="B2249" s="2">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9">
        <f t="shared" si="70"/>
        <v>0.70986744006947522</v>
      </c>
      <c r="F2249" t="str">
        <f t="shared" si="71"/>
        <v>Moderate</v>
      </c>
    </row>
    <row r="2250" spans="1:6" ht="15" hidden="1" customHeight="1" x14ac:dyDescent="0.3">
      <c r="A2250" t="s">
        <v>186</v>
      </c>
      <c r="B2250" s="2">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9">
        <f t="shared" si="70"/>
        <v>0.86410771144613752</v>
      </c>
      <c r="F2250" t="str">
        <f t="shared" si="71"/>
        <v>Moderate</v>
      </c>
    </row>
    <row r="2251" spans="1:6" ht="15" hidden="1" customHeight="1" x14ac:dyDescent="0.3">
      <c r="A2251" t="s">
        <v>186</v>
      </c>
      <c r="B2251" s="2">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9">
        <f t="shared" si="70"/>
        <v>0.93552968638685519</v>
      </c>
      <c r="F2251" t="str">
        <f t="shared" si="71"/>
        <v>Expected</v>
      </c>
    </row>
    <row r="2252" spans="1:6" ht="15" hidden="1" customHeight="1" x14ac:dyDescent="0.3">
      <c r="A2252" t="s">
        <v>186</v>
      </c>
      <c r="B2252" s="2">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9">
        <f t="shared" si="70"/>
        <v>0.86251871446547823</v>
      </c>
      <c r="F2252" t="str">
        <f t="shared" si="71"/>
        <v>Moderate</v>
      </c>
    </row>
    <row r="2253" spans="1:6" ht="15" hidden="1" customHeight="1" x14ac:dyDescent="0.3">
      <c r="A2253" t="s">
        <v>186</v>
      </c>
      <c r="B2253" s="2">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9">
        <f t="shared" si="70"/>
        <v>0.81757664660745155</v>
      </c>
      <c r="F2253" t="str">
        <f t="shared" si="71"/>
        <v>Moderate</v>
      </c>
    </row>
    <row r="2254" spans="1:6" ht="15" hidden="1" customHeight="1" x14ac:dyDescent="0.3">
      <c r="A2254" t="s">
        <v>186</v>
      </c>
      <c r="B2254" s="2">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9">
        <f t="shared" si="70"/>
        <v>0.79646017699115046</v>
      </c>
      <c r="F2254" t="str">
        <f t="shared" si="71"/>
        <v>Moderate</v>
      </c>
    </row>
    <row r="2255" spans="1:6" ht="15" hidden="1" customHeight="1" x14ac:dyDescent="0.3">
      <c r="A2255" t="s">
        <v>186</v>
      </c>
      <c r="B2255" s="2">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9">
        <f t="shared" si="70"/>
        <v>0.77471051580819628</v>
      </c>
      <c r="F2255" t="str">
        <f t="shared" si="71"/>
        <v>Moderate</v>
      </c>
    </row>
    <row r="2256" spans="1:6" ht="15" hidden="1" customHeight="1" x14ac:dyDescent="0.3">
      <c r="A2256" t="s">
        <v>186</v>
      </c>
      <c r="B2256" s="2">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9">
        <f t="shared" si="70"/>
        <v>0.73548368323803703</v>
      </c>
      <c r="F2256" t="str">
        <f t="shared" si="71"/>
        <v>Moderate</v>
      </c>
    </row>
    <row r="2257" spans="1:6" ht="15" hidden="1" customHeight="1" x14ac:dyDescent="0.3">
      <c r="A2257" t="s">
        <v>186</v>
      </c>
      <c r="B2257" s="2">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9">
        <f t="shared" si="70"/>
        <v>0.7835026486492439</v>
      </c>
      <c r="F2257" t="str">
        <f t="shared" si="71"/>
        <v>Moderate</v>
      </c>
    </row>
    <row r="2258" spans="1:6" ht="15" hidden="1" customHeight="1" x14ac:dyDescent="0.3">
      <c r="A2258" t="s">
        <v>186</v>
      </c>
      <c r="B2258" s="2">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9">
        <f t="shared" si="70"/>
        <v>0.85376626196995442</v>
      </c>
      <c r="F2258" t="str">
        <f t="shared" si="71"/>
        <v>Moderate</v>
      </c>
    </row>
    <row r="2259" spans="1:6" ht="15" hidden="1" customHeight="1" x14ac:dyDescent="0.3">
      <c r="A2259" t="s">
        <v>186</v>
      </c>
      <c r="B2259" s="2">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9">
        <f t="shared" si="70"/>
        <v>0.82709811668920441</v>
      </c>
      <c r="F2259" t="str">
        <f t="shared" si="71"/>
        <v>Moderate</v>
      </c>
    </row>
    <row r="2260" spans="1:6" ht="15" hidden="1" customHeight="1" x14ac:dyDescent="0.3">
      <c r="A2260" t="s">
        <v>186</v>
      </c>
      <c r="B2260" s="2">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9">
        <f t="shared" si="70"/>
        <v>0.78347444175832603</v>
      </c>
      <c r="F2260" t="str">
        <f t="shared" si="71"/>
        <v>Moderate</v>
      </c>
    </row>
    <row r="2261" spans="1:6" ht="15" hidden="1" customHeight="1" x14ac:dyDescent="0.3">
      <c r="A2261" t="s">
        <v>186</v>
      </c>
      <c r="B2261" s="2">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9">
        <f t="shared" si="70"/>
        <v>0.74586917694866384</v>
      </c>
      <c r="F2261" t="str">
        <f t="shared" si="71"/>
        <v>Moderate</v>
      </c>
    </row>
    <row r="2262" spans="1:6" ht="15" hidden="1" customHeight="1" x14ac:dyDescent="0.3">
      <c r="A2262" t="s">
        <v>186</v>
      </c>
      <c r="B2262" s="2">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9">
        <f t="shared" si="70"/>
        <v>0.80158576182584917</v>
      </c>
      <c r="F2262" t="str">
        <f t="shared" si="71"/>
        <v>Moderate</v>
      </c>
    </row>
    <row r="2263" spans="1:6" ht="15" hidden="1" customHeight="1" x14ac:dyDescent="0.3">
      <c r="A2263" t="s">
        <v>186</v>
      </c>
      <c r="B2263" s="2">
        <v>46174</v>
      </c>
      <c r="C2263" cm="1">
        <f t="array" ref="C2263">IFERROR(IF(SUMPRODUCT((measured[Site Name]=A2263)*(measured[Date]=B2263)*ISNUMBER(measured[Measured Value (kWh)]))=0,"",SUMIFS(measured[Measured Value (kWh)],measured[Site Name],A2263,measured[Date],B2263)),"")</f>
        <v>14983.63</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9">
        <f t="shared" si="70"/>
        <v>0.75705869572906082</v>
      </c>
      <c r="F2263" t="str">
        <f t="shared" si="71"/>
        <v>Moderate</v>
      </c>
    </row>
    <row r="2264" spans="1:6" ht="15" hidden="1" customHeight="1" x14ac:dyDescent="0.3">
      <c r="A2264" t="s">
        <v>186</v>
      </c>
      <c r="B2264" s="2">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9" t="str">
        <f t="shared" si="70"/>
        <v/>
      </c>
      <c r="F2264" t="str">
        <f t="shared" si="71"/>
        <v/>
      </c>
    </row>
    <row r="2265" spans="1:6" ht="15" hidden="1" customHeight="1" x14ac:dyDescent="0.3">
      <c r="A2265" t="s">
        <v>186</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9" t="str">
        <f t="shared" si="70"/>
        <v/>
      </c>
      <c r="F2265" t="str">
        <f t="shared" si="71"/>
        <v/>
      </c>
    </row>
    <row r="2266" spans="1:6" ht="15" hidden="1" customHeight="1" x14ac:dyDescent="0.3">
      <c r="A2266" t="s">
        <v>186</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9" t="str">
        <f t="shared" si="70"/>
        <v/>
      </c>
      <c r="F2266" t="str">
        <f t="shared" si="71"/>
        <v/>
      </c>
    </row>
    <row r="2267" spans="1:6" ht="15" hidden="1" customHeight="1" x14ac:dyDescent="0.3">
      <c r="A2267" t="s">
        <v>186</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9" t="str">
        <f t="shared" si="70"/>
        <v/>
      </c>
      <c r="F2267" t="str">
        <f t="shared" si="71"/>
        <v/>
      </c>
    </row>
    <row r="2268" spans="1:6" ht="15" hidden="1" customHeight="1" x14ac:dyDescent="0.3">
      <c r="A2268" t="s">
        <v>186</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9" t="str">
        <f t="shared" si="70"/>
        <v/>
      </c>
      <c r="F2268" t="str">
        <f t="shared" si="71"/>
        <v/>
      </c>
    </row>
    <row r="2269" spans="1:6" ht="15" hidden="1" customHeight="1" x14ac:dyDescent="0.3">
      <c r="A2269" t="s">
        <v>186</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9" t="str">
        <f t="shared" si="70"/>
        <v/>
      </c>
      <c r="F2269" t="str">
        <f t="shared" si="71"/>
        <v/>
      </c>
    </row>
    <row r="2270" spans="1:6" ht="15" hidden="1" customHeight="1" x14ac:dyDescent="0.3">
      <c r="A2270" t="s">
        <v>188</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9" t="str">
        <f t="shared" si="70"/>
        <v/>
      </c>
      <c r="F2270" t="str">
        <f t="shared" si="71"/>
        <v/>
      </c>
    </row>
    <row r="2271" spans="1:6" ht="15" hidden="1" customHeight="1" x14ac:dyDescent="0.3">
      <c r="A2271" t="s">
        <v>188</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9" t="str">
        <f t="shared" si="70"/>
        <v/>
      </c>
      <c r="F2271" t="str">
        <f t="shared" si="71"/>
        <v/>
      </c>
    </row>
    <row r="2272" spans="1:6" ht="15" hidden="1" customHeight="1" x14ac:dyDescent="0.3">
      <c r="A2272" t="s">
        <v>188</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9" t="str">
        <f t="shared" si="70"/>
        <v/>
      </c>
      <c r="F2272" t="str">
        <f t="shared" si="71"/>
        <v/>
      </c>
    </row>
    <row r="2273" spans="1:6" ht="15" hidden="1" customHeight="1" x14ac:dyDescent="0.3">
      <c r="A2273" t="s">
        <v>188</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9" t="str">
        <f t="shared" si="70"/>
        <v/>
      </c>
      <c r="F2273" t="str">
        <f t="shared" si="71"/>
        <v/>
      </c>
    </row>
    <row r="2274" spans="1:6" ht="15" hidden="1" customHeight="1" x14ac:dyDescent="0.3">
      <c r="A2274" t="s">
        <v>188</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9" t="str">
        <f t="shared" si="70"/>
        <v/>
      </c>
      <c r="F2274" t="str">
        <f t="shared" si="71"/>
        <v/>
      </c>
    </row>
    <row r="2275" spans="1:6" ht="15" hidden="1" customHeight="1" x14ac:dyDescent="0.3">
      <c r="A2275" t="s">
        <v>188</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9" t="str">
        <f t="shared" si="70"/>
        <v/>
      </c>
      <c r="F2275" t="str">
        <f t="shared" si="71"/>
        <v/>
      </c>
    </row>
    <row r="2276" spans="1:6" ht="15" hidden="1" customHeight="1" x14ac:dyDescent="0.3">
      <c r="A2276" t="s">
        <v>188</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9" t="str">
        <f t="shared" si="70"/>
        <v/>
      </c>
      <c r="F2276" t="str">
        <f t="shared" si="71"/>
        <v/>
      </c>
    </row>
    <row r="2277" spans="1:6" ht="15" hidden="1" customHeight="1" x14ac:dyDescent="0.3">
      <c r="A2277" t="s">
        <v>188</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9" t="str">
        <f t="shared" si="70"/>
        <v/>
      </c>
      <c r="F2277" t="str">
        <f t="shared" si="71"/>
        <v/>
      </c>
    </row>
    <row r="2278" spans="1:6" ht="15" hidden="1" customHeight="1" x14ac:dyDescent="0.3">
      <c r="A2278" t="s">
        <v>188</v>
      </c>
      <c r="B2278" s="2">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9">
        <f t="shared" si="70"/>
        <v>0.57703751016776117</v>
      </c>
      <c r="F2278" t="str">
        <f t="shared" si="71"/>
        <v>Poor</v>
      </c>
    </row>
    <row r="2279" spans="1:6" ht="15" hidden="1" customHeight="1" x14ac:dyDescent="0.3">
      <c r="A2279" t="s">
        <v>188</v>
      </c>
      <c r="B2279" s="2">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9">
        <f t="shared" si="70"/>
        <v>0.89656234935118506</v>
      </c>
      <c r="F2279" t="str">
        <f t="shared" si="71"/>
        <v>Moderate</v>
      </c>
    </row>
    <row r="2280" spans="1:6" ht="15" hidden="1" customHeight="1" x14ac:dyDescent="0.3">
      <c r="A2280" t="s">
        <v>188</v>
      </c>
      <c r="B2280" s="2">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9">
        <f t="shared" si="70"/>
        <v>0.91381464144927116</v>
      </c>
      <c r="F2280" t="str">
        <f t="shared" si="71"/>
        <v>Expected</v>
      </c>
    </row>
    <row r="2281" spans="1:6" ht="15" hidden="1" customHeight="1" x14ac:dyDescent="0.3">
      <c r="A2281" t="s">
        <v>188</v>
      </c>
      <c r="B2281" s="2">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9">
        <f t="shared" si="70"/>
        <v>0.95224415534671214</v>
      </c>
      <c r="F2281" t="str">
        <f t="shared" si="71"/>
        <v>Expected</v>
      </c>
    </row>
    <row r="2282" spans="1:6" ht="15" hidden="1" customHeight="1" x14ac:dyDescent="0.3">
      <c r="A2282" t="s">
        <v>188</v>
      </c>
      <c r="B2282" s="2">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9">
        <f t="shared" si="70"/>
        <v>0.98599211206310344</v>
      </c>
      <c r="F2282" t="str">
        <f t="shared" si="71"/>
        <v>Expected</v>
      </c>
    </row>
    <row r="2283" spans="1:6" ht="15" hidden="1" customHeight="1" x14ac:dyDescent="0.3">
      <c r="A2283" t="s">
        <v>188</v>
      </c>
      <c r="B2283" s="2">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9">
        <f t="shared" si="70"/>
        <v>0.74693670424157421</v>
      </c>
      <c r="F2283" t="str">
        <f t="shared" si="71"/>
        <v>Moderate</v>
      </c>
    </row>
    <row r="2284" spans="1:6" ht="15" hidden="1" customHeight="1" x14ac:dyDescent="0.3">
      <c r="A2284" t="s">
        <v>188</v>
      </c>
      <c r="B2284" s="2">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9">
        <f t="shared" si="70"/>
        <v>0.68959737168527269</v>
      </c>
      <c r="F2284" t="str">
        <f t="shared" si="71"/>
        <v>Poor</v>
      </c>
    </row>
    <row r="2285" spans="1:6" ht="15" hidden="1" customHeight="1" x14ac:dyDescent="0.3">
      <c r="A2285" t="s">
        <v>188</v>
      </c>
      <c r="B2285" s="2">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9">
        <f t="shared" si="70"/>
        <v>0.73726532420184676</v>
      </c>
      <c r="F2285" t="str">
        <f t="shared" si="71"/>
        <v>Moderate</v>
      </c>
    </row>
    <row r="2286" spans="1:6" ht="15" hidden="1" customHeight="1" x14ac:dyDescent="0.3">
      <c r="A2286" t="s">
        <v>188</v>
      </c>
      <c r="B2286" s="2">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9">
        <f t="shared" si="70"/>
        <v>1.1429066552142433</v>
      </c>
      <c r="F2286" t="str">
        <f t="shared" si="71"/>
        <v>Expected</v>
      </c>
    </row>
    <row r="2287" spans="1:6" ht="15" hidden="1" customHeight="1" x14ac:dyDescent="0.3">
      <c r="A2287" t="s">
        <v>188</v>
      </c>
      <c r="B2287" s="2">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9">
        <f t="shared" si="70"/>
        <v>1.1305047833864821</v>
      </c>
      <c r="F2287" t="str">
        <f t="shared" si="71"/>
        <v>Expected</v>
      </c>
    </row>
    <row r="2288" spans="1:6" ht="15" hidden="1" customHeight="1" x14ac:dyDescent="0.3">
      <c r="A2288" t="s">
        <v>188</v>
      </c>
      <c r="B2288" s="2">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9">
        <f t="shared" si="70"/>
        <v>1.0895570643388295</v>
      </c>
      <c r="F2288" t="str">
        <f t="shared" si="71"/>
        <v>Expected</v>
      </c>
    </row>
    <row r="2289" spans="1:6" ht="15" hidden="1" customHeight="1" x14ac:dyDescent="0.3">
      <c r="A2289" t="s">
        <v>188</v>
      </c>
      <c r="B2289" s="2">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9">
        <f t="shared" si="70"/>
        <v>1.0200674164382699</v>
      </c>
      <c r="F2289" t="str">
        <f t="shared" si="71"/>
        <v>Expected</v>
      </c>
    </row>
    <row r="2290" spans="1:6" ht="15" hidden="1" customHeight="1" x14ac:dyDescent="0.3">
      <c r="A2290" t="s">
        <v>188</v>
      </c>
      <c r="B2290" s="2">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9">
        <f t="shared" si="70"/>
        <v>0.90185994966616989</v>
      </c>
      <c r="F2290" t="str">
        <f t="shared" si="71"/>
        <v>Expected</v>
      </c>
    </row>
    <row r="2291" spans="1:6" ht="15" hidden="1" customHeight="1" x14ac:dyDescent="0.3">
      <c r="A2291" t="s">
        <v>188</v>
      </c>
      <c r="B2291" s="2">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9">
        <f t="shared" si="70"/>
        <v>1.0158389368480167</v>
      </c>
      <c r="F2291" t="str">
        <f t="shared" si="71"/>
        <v>Expected</v>
      </c>
    </row>
    <row r="2292" spans="1:6" ht="15" hidden="1" customHeight="1" x14ac:dyDescent="0.3">
      <c r="A2292" t="s">
        <v>188</v>
      </c>
      <c r="B2292" s="2">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9">
        <f t="shared" si="70"/>
        <v>0.87142919637779437</v>
      </c>
      <c r="F2292" t="str">
        <f t="shared" si="71"/>
        <v>Moderate</v>
      </c>
    </row>
    <row r="2293" spans="1:6" ht="15" hidden="1" customHeight="1" x14ac:dyDescent="0.3">
      <c r="A2293" t="s">
        <v>188</v>
      </c>
      <c r="B2293" s="2">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9">
        <f t="shared" si="70"/>
        <v>0.93605113929130024</v>
      </c>
      <c r="F2293" t="str">
        <f t="shared" si="71"/>
        <v>Expected</v>
      </c>
    </row>
    <row r="2294" spans="1:6" ht="15" hidden="1" customHeight="1" x14ac:dyDescent="0.3">
      <c r="A2294" t="s">
        <v>188</v>
      </c>
      <c r="B2294" s="2">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9">
        <f t="shared" si="70"/>
        <v>1.0720114239086087</v>
      </c>
      <c r="F2294" t="str">
        <f t="shared" si="71"/>
        <v>Expected</v>
      </c>
    </row>
    <row r="2295" spans="1:6" ht="15" hidden="1" customHeight="1" x14ac:dyDescent="0.3">
      <c r="A2295" t="s">
        <v>188</v>
      </c>
      <c r="B2295" s="2">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9">
        <f t="shared" si="70"/>
        <v>1.0813476790795002</v>
      </c>
      <c r="F2295" t="str">
        <f t="shared" si="71"/>
        <v>Expected</v>
      </c>
    </row>
    <row r="2296" spans="1:6" ht="15" hidden="1" customHeight="1" x14ac:dyDescent="0.3">
      <c r="A2296" t="s">
        <v>188</v>
      </c>
      <c r="B2296" s="2">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9">
        <f t="shared" si="70"/>
        <v>0.88644160604333588</v>
      </c>
      <c r="F2296" t="str">
        <f t="shared" si="71"/>
        <v>Moderate</v>
      </c>
    </row>
    <row r="2297" spans="1:6" ht="15" hidden="1" customHeight="1" x14ac:dyDescent="0.3">
      <c r="A2297" t="s">
        <v>188</v>
      </c>
      <c r="B2297" s="2">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9">
        <f t="shared" si="70"/>
        <v>0.94087635013117987</v>
      </c>
      <c r="F2297" t="str">
        <f t="shared" si="71"/>
        <v>Expected</v>
      </c>
    </row>
    <row r="2298" spans="1:6" ht="15" hidden="1" customHeight="1" x14ac:dyDescent="0.3">
      <c r="A2298" t="s">
        <v>188</v>
      </c>
      <c r="B2298" s="2">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9">
        <f t="shared" si="70"/>
        <v>1.0176721442402599</v>
      </c>
      <c r="F2298" t="str">
        <f t="shared" si="71"/>
        <v>Expected</v>
      </c>
    </row>
    <row r="2299" spans="1:6" ht="15" hidden="1" customHeight="1" x14ac:dyDescent="0.3">
      <c r="A2299" t="s">
        <v>188</v>
      </c>
      <c r="B2299" s="2">
        <v>46174</v>
      </c>
      <c r="C2299" cm="1">
        <f t="array" ref="C2299">IFERROR(IF(SUMPRODUCT((measured[Site Name]=A2299)*(measured[Date]=B2299)*ISNUMBER(measured[Measured Value (kWh)]))=0,"",SUMIFS(measured[Measured Value (kWh)],measured[Site Name],A2299,measured[Date],B2299)),"")</f>
        <v>10711.09</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9">
        <f t="shared" si="70"/>
        <v>0.92566003819795539</v>
      </c>
      <c r="F2299" t="str">
        <f t="shared" si="71"/>
        <v>Expected</v>
      </c>
    </row>
    <row r="2300" spans="1:6" ht="15" hidden="1" customHeight="1" x14ac:dyDescent="0.3">
      <c r="A2300" t="s">
        <v>188</v>
      </c>
      <c r="B2300" s="2">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9" t="str">
        <f t="shared" si="70"/>
        <v/>
      </c>
      <c r="F2300" t="str">
        <f t="shared" si="71"/>
        <v/>
      </c>
    </row>
    <row r="2301" spans="1:6" ht="15" hidden="1" customHeight="1" x14ac:dyDescent="0.3">
      <c r="A2301" t="s">
        <v>188</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9" t="str">
        <f t="shared" si="70"/>
        <v/>
      </c>
      <c r="F2301" t="str">
        <f t="shared" si="71"/>
        <v/>
      </c>
    </row>
    <row r="2302" spans="1:6" ht="15" hidden="1" customHeight="1" x14ac:dyDescent="0.3">
      <c r="A2302" t="s">
        <v>188</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9" t="str">
        <f t="shared" si="70"/>
        <v/>
      </c>
      <c r="F2302" t="str">
        <f t="shared" si="71"/>
        <v/>
      </c>
    </row>
    <row r="2303" spans="1:6" ht="15" hidden="1" customHeight="1" x14ac:dyDescent="0.3">
      <c r="A2303" t="s">
        <v>188</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9" t="str">
        <f t="shared" si="70"/>
        <v/>
      </c>
      <c r="F2303" t="str">
        <f t="shared" si="71"/>
        <v/>
      </c>
    </row>
    <row r="2304" spans="1:6" ht="15" hidden="1" customHeight="1" x14ac:dyDescent="0.3">
      <c r="A2304" t="s">
        <v>188</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9" t="str">
        <f t="shared" si="70"/>
        <v/>
      </c>
      <c r="F2304" t="str">
        <f t="shared" si="71"/>
        <v/>
      </c>
    </row>
    <row r="2305" spans="1:6" ht="15" hidden="1" customHeight="1" x14ac:dyDescent="0.3">
      <c r="A2305" t="s">
        <v>188</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9" t="str">
        <f t="shared" si="70"/>
        <v/>
      </c>
      <c r="F2305" t="str">
        <f t="shared" si="71"/>
        <v/>
      </c>
    </row>
    <row r="2306" spans="1:6" ht="15" hidden="1" customHeight="1" x14ac:dyDescent="0.3">
      <c r="A2306" t="s">
        <v>226</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9" t="str">
        <f t="shared" ref="E2306:E2369" si="72">IF(OR(C2306="",D2306="",D2306=0),"",C2306/D2306)</f>
        <v/>
      </c>
      <c r="F2306" t="str">
        <f t="shared" ref="F2306:F2369" si="73">IF(E2306="","",IF(E2306&gt;=0.9,"Expected",IF(E2306&gt;=0.7,"Moderate","Poor")))</f>
        <v/>
      </c>
    </row>
    <row r="2307" spans="1:6" ht="15" hidden="1" customHeight="1" x14ac:dyDescent="0.3">
      <c r="A2307" t="s">
        <v>226</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9" t="str">
        <f t="shared" si="72"/>
        <v/>
      </c>
      <c r="F2307" t="str">
        <f t="shared" si="73"/>
        <v/>
      </c>
    </row>
    <row r="2308" spans="1:6" ht="15" hidden="1" customHeight="1" x14ac:dyDescent="0.3">
      <c r="A2308" t="s">
        <v>226</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9" t="str">
        <f t="shared" si="72"/>
        <v/>
      </c>
      <c r="F2308" t="str">
        <f t="shared" si="73"/>
        <v/>
      </c>
    </row>
    <row r="2309" spans="1:6" ht="15" hidden="1" customHeight="1" x14ac:dyDescent="0.3">
      <c r="A2309" t="s">
        <v>226</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9" t="str">
        <f t="shared" si="72"/>
        <v/>
      </c>
      <c r="F2309" t="str">
        <f t="shared" si="73"/>
        <v/>
      </c>
    </row>
    <row r="2310" spans="1:6" ht="15" hidden="1" customHeight="1" x14ac:dyDescent="0.3">
      <c r="A2310" t="s">
        <v>226</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9" t="str">
        <f t="shared" si="72"/>
        <v/>
      </c>
      <c r="F2310" t="str">
        <f t="shared" si="73"/>
        <v/>
      </c>
    </row>
    <row r="2311" spans="1:6" ht="15" hidden="1" customHeight="1" x14ac:dyDescent="0.3">
      <c r="A2311" t="s">
        <v>226</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9" t="str">
        <f t="shared" si="72"/>
        <v/>
      </c>
      <c r="F2311" t="str">
        <f t="shared" si="73"/>
        <v/>
      </c>
    </row>
    <row r="2312" spans="1:6" ht="15" hidden="1" customHeight="1" x14ac:dyDescent="0.3">
      <c r="A2312" t="s">
        <v>226</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9" t="str">
        <f t="shared" si="72"/>
        <v/>
      </c>
      <c r="F2312" t="str">
        <f t="shared" si="73"/>
        <v/>
      </c>
    </row>
    <row r="2313" spans="1:6" ht="15" hidden="1" customHeight="1" x14ac:dyDescent="0.3">
      <c r="A2313" t="s">
        <v>226</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9" t="str">
        <f t="shared" si="72"/>
        <v/>
      </c>
      <c r="F2313" t="str">
        <f t="shared" si="73"/>
        <v/>
      </c>
    </row>
    <row r="2314" spans="1:6" ht="15" hidden="1" customHeight="1" x14ac:dyDescent="0.3">
      <c r="A2314" t="s">
        <v>226</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9" t="str">
        <f t="shared" si="72"/>
        <v/>
      </c>
      <c r="F2314" t="str">
        <f t="shared" si="73"/>
        <v/>
      </c>
    </row>
    <row r="2315" spans="1:6" ht="15" hidden="1" customHeight="1" x14ac:dyDescent="0.3">
      <c r="A2315" t="s">
        <v>226</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9" t="str">
        <f t="shared" si="72"/>
        <v/>
      </c>
      <c r="F2315" t="str">
        <f t="shared" si="73"/>
        <v/>
      </c>
    </row>
    <row r="2316" spans="1:6" ht="15" hidden="1" customHeight="1" x14ac:dyDescent="0.3">
      <c r="A2316" t="s">
        <v>226</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9" t="str">
        <f t="shared" si="72"/>
        <v/>
      </c>
      <c r="F2316" t="str">
        <f t="shared" si="73"/>
        <v/>
      </c>
    </row>
    <row r="2317" spans="1:6" ht="15" hidden="1" customHeight="1" x14ac:dyDescent="0.3">
      <c r="A2317" t="s">
        <v>226</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9" t="str">
        <f t="shared" si="72"/>
        <v/>
      </c>
      <c r="F2317" t="str">
        <f t="shared" si="73"/>
        <v/>
      </c>
    </row>
    <row r="2318" spans="1:6" ht="15" hidden="1" customHeight="1" x14ac:dyDescent="0.3">
      <c r="A2318" t="s">
        <v>226</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9" t="str">
        <f t="shared" si="72"/>
        <v/>
      </c>
      <c r="F2318" t="str">
        <f t="shared" si="73"/>
        <v/>
      </c>
    </row>
    <row r="2319" spans="1:6" ht="15" hidden="1" customHeight="1" x14ac:dyDescent="0.3">
      <c r="A2319" t="s">
        <v>226</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9" t="str">
        <f t="shared" si="72"/>
        <v/>
      </c>
      <c r="F2319" t="str">
        <f t="shared" si="73"/>
        <v/>
      </c>
    </row>
    <row r="2320" spans="1:6" ht="15" hidden="1" customHeight="1" x14ac:dyDescent="0.3">
      <c r="A2320" t="s">
        <v>226</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9" t="str">
        <f t="shared" si="72"/>
        <v/>
      </c>
      <c r="F2320" t="str">
        <f t="shared" si="73"/>
        <v/>
      </c>
    </row>
    <row r="2321" spans="1:6" ht="15" hidden="1" customHeight="1" x14ac:dyDescent="0.3">
      <c r="A2321" t="s">
        <v>226</v>
      </c>
      <c r="B2321" s="2">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9" t="str">
        <f t="shared" si="72"/>
        <v/>
      </c>
      <c r="F2321" t="str">
        <f t="shared" si="73"/>
        <v/>
      </c>
    </row>
    <row r="2322" spans="1:6" ht="15" hidden="1" customHeight="1" x14ac:dyDescent="0.3">
      <c r="A2322" t="s">
        <v>226</v>
      </c>
      <c r="B2322" s="2">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9" t="str">
        <f t="shared" si="72"/>
        <v/>
      </c>
      <c r="F2322" t="str">
        <f t="shared" si="73"/>
        <v/>
      </c>
    </row>
    <row r="2323" spans="1:6" ht="15" hidden="1" customHeight="1" x14ac:dyDescent="0.3">
      <c r="A2323" t="s">
        <v>226</v>
      </c>
      <c r="B2323" s="2">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9" t="str">
        <f t="shared" si="72"/>
        <v/>
      </c>
      <c r="F2323" t="str">
        <f t="shared" si="73"/>
        <v/>
      </c>
    </row>
    <row r="2324" spans="1:6" ht="15" hidden="1" customHeight="1" x14ac:dyDescent="0.3">
      <c r="A2324" t="s">
        <v>226</v>
      </c>
      <c r="B2324" s="2">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9" t="str">
        <f t="shared" si="72"/>
        <v/>
      </c>
      <c r="F2324" t="str">
        <f t="shared" si="73"/>
        <v/>
      </c>
    </row>
    <row r="2325" spans="1:6" ht="15" hidden="1" customHeight="1" x14ac:dyDescent="0.3">
      <c r="A2325" t="s">
        <v>226</v>
      </c>
      <c r="B2325" s="2">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9" t="str">
        <f t="shared" si="72"/>
        <v/>
      </c>
      <c r="F2325" t="str">
        <f t="shared" si="73"/>
        <v/>
      </c>
    </row>
    <row r="2326" spans="1:6" ht="15" hidden="1" customHeight="1" x14ac:dyDescent="0.3">
      <c r="A2326" t="s">
        <v>226</v>
      </c>
      <c r="B2326" s="2">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9" t="str">
        <f t="shared" si="72"/>
        <v/>
      </c>
      <c r="F2326" t="str">
        <f t="shared" si="73"/>
        <v/>
      </c>
    </row>
    <row r="2327" spans="1:6" ht="15" hidden="1" customHeight="1" x14ac:dyDescent="0.3">
      <c r="A2327" t="s">
        <v>226</v>
      </c>
      <c r="B2327" s="2">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9" t="str">
        <f t="shared" si="72"/>
        <v/>
      </c>
      <c r="F2327" t="str">
        <f t="shared" si="73"/>
        <v/>
      </c>
    </row>
    <row r="2328" spans="1:6" ht="15" hidden="1" customHeight="1" x14ac:dyDescent="0.3">
      <c r="A2328" t="s">
        <v>226</v>
      </c>
      <c r="B2328" s="2">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9" t="str">
        <f t="shared" si="72"/>
        <v/>
      </c>
      <c r="F2328" t="str">
        <f t="shared" si="73"/>
        <v/>
      </c>
    </row>
    <row r="2329" spans="1:6" ht="15" hidden="1" customHeight="1" x14ac:dyDescent="0.3">
      <c r="A2329" t="s">
        <v>226</v>
      </c>
      <c r="B2329" s="2">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9">
        <f t="shared" si="72"/>
        <v>0.65190210021731243</v>
      </c>
      <c r="F2329" t="str">
        <f t="shared" si="73"/>
        <v>Poor</v>
      </c>
    </row>
    <row r="2330" spans="1:6" ht="15" hidden="1" customHeight="1" x14ac:dyDescent="0.3">
      <c r="A2330" t="s">
        <v>226</v>
      </c>
      <c r="B2330" s="2">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9">
        <f t="shared" si="72"/>
        <v>1.0714646094754487</v>
      </c>
      <c r="F2330" t="str">
        <f t="shared" si="73"/>
        <v>Expected</v>
      </c>
    </row>
    <row r="2331" spans="1:6" ht="15" hidden="1" customHeight="1" x14ac:dyDescent="0.3">
      <c r="A2331" t="s">
        <v>226</v>
      </c>
      <c r="B2331" s="2">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9">
        <f t="shared" si="72"/>
        <v>1.2810249187699985</v>
      </c>
      <c r="F2331" t="str">
        <f t="shared" si="73"/>
        <v>Expected</v>
      </c>
    </row>
    <row r="2332" spans="1:6" ht="15" hidden="1" customHeight="1" x14ac:dyDescent="0.3">
      <c r="A2332" t="s">
        <v>226</v>
      </c>
      <c r="B2332" s="2">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9">
        <f t="shared" si="72"/>
        <v>1.0955806527762249</v>
      </c>
      <c r="F2332" t="str">
        <f t="shared" si="73"/>
        <v>Expected</v>
      </c>
    </row>
    <row r="2333" spans="1:6" ht="15" hidden="1" customHeight="1" x14ac:dyDescent="0.3">
      <c r="A2333" t="s">
        <v>226</v>
      </c>
      <c r="B2333" s="2">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9">
        <f t="shared" si="72"/>
        <v>1.1381844184516332</v>
      </c>
      <c r="F2333" t="str">
        <f t="shared" si="73"/>
        <v>Expected</v>
      </c>
    </row>
    <row r="2334" spans="1:6" ht="15" hidden="1" customHeight="1" x14ac:dyDescent="0.3">
      <c r="A2334" t="s">
        <v>226</v>
      </c>
      <c r="B2334" s="2">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9">
        <f t="shared" si="72"/>
        <v>1.083262662700673</v>
      </c>
      <c r="F2334" t="str">
        <f t="shared" si="73"/>
        <v>Expected</v>
      </c>
    </row>
    <row r="2335" spans="1:6" ht="15" hidden="1" customHeight="1" x14ac:dyDescent="0.3">
      <c r="A2335" t="s">
        <v>226</v>
      </c>
      <c r="B2335" s="2">
        <v>46174</v>
      </c>
      <c r="C2335" cm="1">
        <f t="array" ref="C2335">IFERROR(IF(SUMPRODUCT((measured[Site Name]=A2335)*(measured[Date]=B2335)*ISNUMBER(measured[Measured Value (kWh)]))=0,"",SUMIFS(measured[Measured Value (kWh)],measured[Site Name],A2335,measured[Date],B2335)),"")</f>
        <v>17006.73</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9">
        <f t="shared" si="72"/>
        <v>1.1129913221031138</v>
      </c>
      <c r="F2335" t="str">
        <f t="shared" si="73"/>
        <v>Expected</v>
      </c>
    </row>
    <row r="2336" spans="1:6" ht="15" hidden="1" customHeight="1" x14ac:dyDescent="0.3">
      <c r="A2336" t="s">
        <v>226</v>
      </c>
      <c r="B2336" s="2">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9" t="str">
        <f t="shared" si="72"/>
        <v/>
      </c>
      <c r="F2336" t="str">
        <f t="shared" si="73"/>
        <v/>
      </c>
    </row>
    <row r="2337" spans="1:6" ht="15" hidden="1" customHeight="1" x14ac:dyDescent="0.3">
      <c r="A2337" t="s">
        <v>226</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9" t="str">
        <f t="shared" si="72"/>
        <v/>
      </c>
      <c r="F2337" t="str">
        <f t="shared" si="73"/>
        <v/>
      </c>
    </row>
    <row r="2338" spans="1:6" ht="15" hidden="1" customHeight="1" x14ac:dyDescent="0.3">
      <c r="A2338" t="s">
        <v>226</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9" t="str">
        <f t="shared" si="72"/>
        <v/>
      </c>
      <c r="F2338" t="str">
        <f t="shared" si="73"/>
        <v/>
      </c>
    </row>
    <row r="2339" spans="1:6" ht="15" hidden="1" customHeight="1" x14ac:dyDescent="0.3">
      <c r="A2339" t="s">
        <v>226</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9" t="str">
        <f t="shared" si="72"/>
        <v/>
      </c>
      <c r="F2339" t="str">
        <f t="shared" si="73"/>
        <v/>
      </c>
    </row>
    <row r="2340" spans="1:6" ht="15" hidden="1" customHeight="1" x14ac:dyDescent="0.3">
      <c r="A2340" t="s">
        <v>226</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9" t="str">
        <f t="shared" si="72"/>
        <v/>
      </c>
      <c r="F2340" t="str">
        <f t="shared" si="73"/>
        <v/>
      </c>
    </row>
    <row r="2341" spans="1:6" ht="15" hidden="1" customHeight="1" x14ac:dyDescent="0.3">
      <c r="A2341" t="s">
        <v>226</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9" t="str">
        <f t="shared" si="72"/>
        <v/>
      </c>
      <c r="F2341" t="str">
        <f t="shared" si="73"/>
        <v/>
      </c>
    </row>
    <row r="2342" spans="1:6" ht="15" hidden="1" customHeight="1" x14ac:dyDescent="0.3">
      <c r="A2342" t="s">
        <v>208</v>
      </c>
      <c r="B2342" s="2">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9" t="str">
        <f t="shared" si="72"/>
        <v/>
      </c>
      <c r="F2342" t="str">
        <f t="shared" si="73"/>
        <v/>
      </c>
    </row>
    <row r="2343" spans="1:6" ht="15" hidden="1" customHeight="1" x14ac:dyDescent="0.3">
      <c r="A2343" t="s">
        <v>208</v>
      </c>
      <c r="B2343" s="2">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9" t="str">
        <f t="shared" si="72"/>
        <v/>
      </c>
      <c r="F2343" t="str">
        <f t="shared" si="73"/>
        <v/>
      </c>
    </row>
    <row r="2344" spans="1:6" ht="15" hidden="1" customHeight="1" x14ac:dyDescent="0.3">
      <c r="A2344" t="s">
        <v>208</v>
      </c>
      <c r="B2344" s="2">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9" t="str">
        <f t="shared" si="72"/>
        <v/>
      </c>
      <c r="F2344" t="str">
        <f t="shared" si="73"/>
        <v/>
      </c>
    </row>
    <row r="2345" spans="1:6" ht="15" hidden="1" customHeight="1" x14ac:dyDescent="0.3">
      <c r="A2345" t="s">
        <v>208</v>
      </c>
      <c r="B2345" s="2">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9" t="str">
        <f t="shared" si="72"/>
        <v/>
      </c>
      <c r="F2345" t="str">
        <f t="shared" si="73"/>
        <v/>
      </c>
    </row>
    <row r="2346" spans="1:6" ht="15" hidden="1" customHeight="1" x14ac:dyDescent="0.3">
      <c r="A2346" t="s">
        <v>208</v>
      </c>
      <c r="B2346" s="2">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9" t="str">
        <f t="shared" si="72"/>
        <v/>
      </c>
      <c r="F2346" t="str">
        <f t="shared" si="73"/>
        <v/>
      </c>
    </row>
    <row r="2347" spans="1:6" ht="15" hidden="1" customHeight="1" x14ac:dyDescent="0.3">
      <c r="A2347" t="s">
        <v>208</v>
      </c>
      <c r="B2347" s="2">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9" t="str">
        <f t="shared" si="72"/>
        <v/>
      </c>
      <c r="F2347" t="str">
        <f t="shared" si="73"/>
        <v/>
      </c>
    </row>
    <row r="2348" spans="1:6" ht="15" hidden="1" customHeight="1" x14ac:dyDescent="0.3">
      <c r="A2348" t="s">
        <v>208</v>
      </c>
      <c r="B2348" s="2">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9" t="str">
        <f t="shared" si="72"/>
        <v/>
      </c>
      <c r="F2348" t="str">
        <f t="shared" si="73"/>
        <v/>
      </c>
    </row>
    <row r="2349" spans="1:6" ht="15" hidden="1" customHeight="1" x14ac:dyDescent="0.3">
      <c r="A2349" t="s">
        <v>208</v>
      </c>
      <c r="B2349" s="2">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9" t="str">
        <f t="shared" si="72"/>
        <v/>
      </c>
      <c r="F2349" t="str">
        <f t="shared" si="73"/>
        <v/>
      </c>
    </row>
    <row r="2350" spans="1:6" ht="15" hidden="1" customHeight="1" x14ac:dyDescent="0.3">
      <c r="A2350" t="s">
        <v>208</v>
      </c>
      <c r="B2350" s="2">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9" t="str">
        <f t="shared" si="72"/>
        <v/>
      </c>
      <c r="F2350" t="str">
        <f t="shared" si="73"/>
        <v/>
      </c>
    </row>
    <row r="2351" spans="1:6" ht="15" hidden="1" customHeight="1" x14ac:dyDescent="0.3">
      <c r="A2351" t="s">
        <v>208</v>
      </c>
      <c r="B2351" s="2">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9" t="str">
        <f t="shared" si="72"/>
        <v/>
      </c>
      <c r="F2351" t="str">
        <f t="shared" si="73"/>
        <v/>
      </c>
    </row>
    <row r="2352" spans="1:6" ht="15" hidden="1" customHeight="1" x14ac:dyDescent="0.3">
      <c r="A2352" t="s">
        <v>208</v>
      </c>
      <c r="B2352" s="2">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9" t="str">
        <f t="shared" si="72"/>
        <v/>
      </c>
      <c r="F2352" t="str">
        <f t="shared" si="73"/>
        <v/>
      </c>
    </row>
    <row r="2353" spans="1:6" ht="15" hidden="1" customHeight="1" x14ac:dyDescent="0.3">
      <c r="A2353" t="s">
        <v>208</v>
      </c>
      <c r="B2353" s="2">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9" t="str">
        <f t="shared" si="72"/>
        <v/>
      </c>
      <c r="F2353" t="str">
        <f t="shared" si="73"/>
        <v/>
      </c>
    </row>
    <row r="2354" spans="1:6" ht="15" hidden="1" customHeight="1" x14ac:dyDescent="0.3">
      <c r="A2354" t="s">
        <v>208</v>
      </c>
      <c r="B2354" s="2">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9" t="str">
        <f t="shared" si="72"/>
        <v/>
      </c>
      <c r="F2354" t="str">
        <f t="shared" si="73"/>
        <v/>
      </c>
    </row>
    <row r="2355" spans="1:6" ht="15" hidden="1" customHeight="1" x14ac:dyDescent="0.3">
      <c r="A2355" t="s">
        <v>208</v>
      </c>
      <c r="B2355" s="2">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9" t="str">
        <f t="shared" si="72"/>
        <v/>
      </c>
      <c r="F2355" t="str">
        <f t="shared" si="73"/>
        <v/>
      </c>
    </row>
    <row r="2356" spans="1:6" ht="15" hidden="1" customHeight="1" x14ac:dyDescent="0.3">
      <c r="A2356" t="s">
        <v>208</v>
      </c>
      <c r="B2356" s="2">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9" t="str">
        <f t="shared" si="72"/>
        <v/>
      </c>
      <c r="F2356" t="str">
        <f t="shared" si="73"/>
        <v/>
      </c>
    </row>
    <row r="2357" spans="1:6" ht="15" hidden="1" customHeight="1" x14ac:dyDescent="0.3">
      <c r="A2357" t="s">
        <v>208</v>
      </c>
      <c r="B2357" s="2">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9">
        <f t="shared" si="72"/>
        <v>0.30497357286130511</v>
      </c>
      <c r="F2357" t="str">
        <f t="shared" si="73"/>
        <v>Poor</v>
      </c>
    </row>
    <row r="2358" spans="1:6" ht="15" hidden="1" customHeight="1" x14ac:dyDescent="0.3">
      <c r="A2358" t="s">
        <v>208</v>
      </c>
      <c r="B2358" s="2">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9">
        <f t="shared" si="72"/>
        <v>0.4278685017471297</v>
      </c>
      <c r="F2358" t="str">
        <f t="shared" si="73"/>
        <v>Poor</v>
      </c>
    </row>
    <row r="2359" spans="1:6" ht="15" hidden="1" customHeight="1" x14ac:dyDescent="0.3">
      <c r="A2359" t="s">
        <v>208</v>
      </c>
      <c r="B2359" s="2">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9">
        <f t="shared" si="72"/>
        <v>0.78304174215588185</v>
      </c>
      <c r="F2359" t="str">
        <f t="shared" si="73"/>
        <v>Moderate</v>
      </c>
    </row>
    <row r="2360" spans="1:6" ht="15" hidden="1" customHeight="1" x14ac:dyDescent="0.3">
      <c r="A2360" t="s">
        <v>208</v>
      </c>
      <c r="B2360" s="2">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9">
        <f t="shared" si="72"/>
        <v>0.57326282766538916</v>
      </c>
      <c r="F2360" t="str">
        <f t="shared" si="73"/>
        <v>Poor</v>
      </c>
    </row>
    <row r="2361" spans="1:6" ht="15" hidden="1" customHeight="1" x14ac:dyDescent="0.3">
      <c r="A2361" t="s">
        <v>208</v>
      </c>
      <c r="B2361" s="2">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9">
        <f t="shared" si="72"/>
        <v>0.70695773442138543</v>
      </c>
      <c r="F2361" t="str">
        <f t="shared" si="73"/>
        <v>Moderate</v>
      </c>
    </row>
    <row r="2362" spans="1:6" ht="15" hidden="1" customHeight="1" x14ac:dyDescent="0.3">
      <c r="A2362" t="s">
        <v>208</v>
      </c>
      <c r="B2362" s="2">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9">
        <f t="shared" si="72"/>
        <v>0.70287599140167512</v>
      </c>
      <c r="F2362" t="str">
        <f t="shared" si="73"/>
        <v>Moderate</v>
      </c>
    </row>
    <row r="2363" spans="1:6" ht="15" hidden="1" customHeight="1" x14ac:dyDescent="0.3">
      <c r="A2363" t="s">
        <v>208</v>
      </c>
      <c r="B2363" s="2">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9">
        <f t="shared" si="72"/>
        <v>0.90170012805881072</v>
      </c>
      <c r="F2363" t="str">
        <f t="shared" si="73"/>
        <v>Expected</v>
      </c>
    </row>
    <row r="2364" spans="1:6" ht="15" hidden="1" customHeight="1" x14ac:dyDescent="0.3">
      <c r="A2364" t="s">
        <v>208</v>
      </c>
      <c r="B2364" s="2">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9">
        <f t="shared" si="72"/>
        <v>0.83170607063127033</v>
      </c>
      <c r="F2364" t="str">
        <f t="shared" si="73"/>
        <v>Moderate</v>
      </c>
    </row>
    <row r="2365" spans="1:6" ht="15" hidden="1" customHeight="1" x14ac:dyDescent="0.3">
      <c r="A2365" t="s">
        <v>208</v>
      </c>
      <c r="B2365" s="2">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9">
        <f t="shared" si="72"/>
        <v>0.92317478341323911</v>
      </c>
      <c r="F2365" t="str">
        <f t="shared" si="73"/>
        <v>Expected</v>
      </c>
    </row>
    <row r="2366" spans="1:6" ht="15" hidden="1" customHeight="1" x14ac:dyDescent="0.3">
      <c r="A2366" t="s">
        <v>208</v>
      </c>
      <c r="B2366" s="2">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9">
        <f t="shared" si="72"/>
        <v>1.0830225838216541</v>
      </c>
      <c r="F2366" t="str">
        <f t="shared" si="73"/>
        <v>Expected</v>
      </c>
    </row>
    <row r="2367" spans="1:6" ht="15" hidden="1" customHeight="1" x14ac:dyDescent="0.3">
      <c r="A2367" t="s">
        <v>208</v>
      </c>
      <c r="B2367" s="2">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9">
        <f t="shared" si="72"/>
        <v>1.0421130425601948</v>
      </c>
      <c r="F2367" t="str">
        <f t="shared" si="73"/>
        <v>Expected</v>
      </c>
    </row>
    <row r="2368" spans="1:6" ht="15" hidden="1" customHeight="1" x14ac:dyDescent="0.3">
      <c r="A2368" t="s">
        <v>208</v>
      </c>
      <c r="B2368" s="2">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9">
        <f t="shared" si="72"/>
        <v>0.92137700299348468</v>
      </c>
      <c r="F2368" t="str">
        <f t="shared" si="73"/>
        <v>Expected</v>
      </c>
    </row>
    <row r="2369" spans="1:6" ht="15" hidden="1" customHeight="1" x14ac:dyDescent="0.3">
      <c r="A2369" t="s">
        <v>208</v>
      </c>
      <c r="B2369" s="2">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9">
        <f t="shared" si="72"/>
        <v>0.91493535965798456</v>
      </c>
      <c r="F2369" t="str">
        <f t="shared" si="73"/>
        <v>Expected</v>
      </c>
    </row>
    <row r="2370" spans="1:6" ht="15" hidden="1" customHeight="1" x14ac:dyDescent="0.3">
      <c r="A2370" t="s">
        <v>208</v>
      </c>
      <c r="B2370" s="2">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9">
        <f t="shared" ref="E2370:E2433" si="74">IF(OR(C2370="",D2370="",D2370=0),"",C2370/D2370)</f>
        <v>0.92687568835326084</v>
      </c>
      <c r="F2370" t="str">
        <f t="shared" ref="F2370:F2433" si="75">IF(E2370="","",IF(E2370&gt;=0.9,"Expected",IF(E2370&gt;=0.7,"Moderate","Poor")))</f>
        <v>Expected</v>
      </c>
    </row>
    <row r="2371" spans="1:6" ht="15" hidden="1" customHeight="1" x14ac:dyDescent="0.3">
      <c r="A2371" t="s">
        <v>208</v>
      </c>
      <c r="B2371" s="2">
        <v>46174</v>
      </c>
      <c r="C2371" cm="1">
        <f t="array" ref="C2371">IFERROR(IF(SUMPRODUCT((measured[Site Name]=A2371)*(measured[Date]=B2371)*ISNUMBER(measured[Measured Value (kWh)]))=0,"",SUMIFS(measured[Measured Value (kWh)],measured[Site Name],A2371,measured[Date],B2371)),"")</f>
        <v>9082.64</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9">
        <f t="shared" si="74"/>
        <v>0.81867625717710901</v>
      </c>
      <c r="F2371" t="str">
        <f t="shared" si="75"/>
        <v>Moderate</v>
      </c>
    </row>
    <row r="2372" spans="1:6" ht="15" hidden="1" customHeight="1" x14ac:dyDescent="0.3">
      <c r="A2372" t="s">
        <v>208</v>
      </c>
      <c r="B2372" s="2">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9" t="str">
        <f t="shared" si="74"/>
        <v/>
      </c>
      <c r="F2372" t="str">
        <f t="shared" si="75"/>
        <v/>
      </c>
    </row>
    <row r="2373" spans="1:6" ht="15" hidden="1" customHeight="1" x14ac:dyDescent="0.3">
      <c r="A2373" t="s">
        <v>208</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9" t="str">
        <f t="shared" si="74"/>
        <v/>
      </c>
      <c r="F2373" t="str">
        <f t="shared" si="75"/>
        <v/>
      </c>
    </row>
    <row r="2374" spans="1:6" ht="15" hidden="1" customHeight="1" x14ac:dyDescent="0.3">
      <c r="A2374" t="s">
        <v>208</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9" t="str">
        <f t="shared" si="74"/>
        <v/>
      </c>
      <c r="F2374" t="str">
        <f t="shared" si="75"/>
        <v/>
      </c>
    </row>
    <row r="2375" spans="1:6" ht="15" hidden="1" customHeight="1" x14ac:dyDescent="0.3">
      <c r="A2375" t="s">
        <v>208</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9" t="str">
        <f t="shared" si="74"/>
        <v/>
      </c>
      <c r="F2375" t="str">
        <f t="shared" si="75"/>
        <v/>
      </c>
    </row>
    <row r="2376" spans="1:6" ht="15" hidden="1" customHeight="1" x14ac:dyDescent="0.3">
      <c r="A2376" t="s">
        <v>208</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9" t="str">
        <f t="shared" si="74"/>
        <v/>
      </c>
      <c r="F2376" t="str">
        <f t="shared" si="75"/>
        <v/>
      </c>
    </row>
    <row r="2377" spans="1:6" ht="15" hidden="1" customHeight="1" x14ac:dyDescent="0.3">
      <c r="A2377" t="s">
        <v>208</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9" t="str">
        <f t="shared" si="74"/>
        <v/>
      </c>
      <c r="F2377" t="str">
        <f t="shared" si="75"/>
        <v/>
      </c>
    </row>
    <row r="2378" spans="1:6" ht="15" hidden="1" customHeight="1" x14ac:dyDescent="0.3">
      <c r="A2378" t="s">
        <v>190</v>
      </c>
      <c r="B2378" s="2">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9">
        <f t="shared" si="74"/>
        <v>0.55118604767870494</v>
      </c>
      <c r="F2378" t="str">
        <f t="shared" si="75"/>
        <v>Poor</v>
      </c>
    </row>
    <row r="2379" spans="1:6" ht="15" hidden="1" customHeight="1" x14ac:dyDescent="0.3">
      <c r="A2379" t="s">
        <v>190</v>
      </c>
      <c r="B2379" s="2">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9">
        <f t="shared" si="74"/>
        <v>0.5913446724811573</v>
      </c>
      <c r="F2379" t="str">
        <f t="shared" si="75"/>
        <v>Poor</v>
      </c>
    </row>
    <row r="2380" spans="1:6" ht="15" hidden="1" customHeight="1" x14ac:dyDescent="0.3">
      <c r="A2380" t="s">
        <v>190</v>
      </c>
      <c r="B2380" s="2">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9">
        <f t="shared" si="74"/>
        <v>0.62950418535393671</v>
      </c>
      <c r="F2380" t="str">
        <f t="shared" si="75"/>
        <v>Poor</v>
      </c>
    </row>
    <row r="2381" spans="1:6" ht="15" hidden="1" customHeight="1" x14ac:dyDescent="0.3">
      <c r="A2381" t="s">
        <v>190</v>
      </c>
      <c r="B2381" s="2">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9">
        <f t="shared" si="74"/>
        <v>0.66753333682429894</v>
      </c>
      <c r="F2381" t="str">
        <f t="shared" si="75"/>
        <v>Poor</v>
      </c>
    </row>
    <row r="2382" spans="1:6" ht="15" hidden="1" customHeight="1" x14ac:dyDescent="0.3">
      <c r="A2382" t="s">
        <v>190</v>
      </c>
      <c r="B2382" s="2">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9">
        <f t="shared" si="74"/>
        <v>0.7834552726563262</v>
      </c>
      <c r="F2382" t="str">
        <f t="shared" si="75"/>
        <v>Moderate</v>
      </c>
    </row>
    <row r="2383" spans="1:6" ht="15" hidden="1" customHeight="1" x14ac:dyDescent="0.3">
      <c r="A2383" t="s">
        <v>190</v>
      </c>
      <c r="B2383" s="2">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9">
        <f t="shared" si="74"/>
        <v>0.87875587168696079</v>
      </c>
      <c r="F2383" t="str">
        <f t="shared" si="75"/>
        <v>Moderate</v>
      </c>
    </row>
    <row r="2384" spans="1:6" ht="15" hidden="1" customHeight="1" x14ac:dyDescent="0.3">
      <c r="A2384" t="s">
        <v>190</v>
      </c>
      <c r="B2384" s="2">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9">
        <f t="shared" si="74"/>
        <v>0.82442993218173755</v>
      </c>
      <c r="F2384" t="str">
        <f t="shared" si="75"/>
        <v>Moderate</v>
      </c>
    </row>
    <row r="2385" spans="1:6" ht="15" hidden="1" customHeight="1" x14ac:dyDescent="0.3">
      <c r="A2385" t="s">
        <v>190</v>
      </c>
      <c r="B2385" s="2">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9">
        <f t="shared" si="74"/>
        <v>0.69178778344831682</v>
      </c>
      <c r="F2385" t="str">
        <f t="shared" si="75"/>
        <v>Poor</v>
      </c>
    </row>
    <row r="2386" spans="1:6" ht="15" hidden="1" customHeight="1" x14ac:dyDescent="0.3">
      <c r="A2386" t="s">
        <v>190</v>
      </c>
      <c r="B2386" s="2">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9">
        <f t="shared" si="74"/>
        <v>0.57463827233428044</v>
      </c>
      <c r="F2386" t="str">
        <f t="shared" si="75"/>
        <v>Poor</v>
      </c>
    </row>
    <row r="2387" spans="1:6" ht="15" hidden="1" customHeight="1" x14ac:dyDescent="0.3">
      <c r="A2387" t="s">
        <v>190</v>
      </c>
      <c r="B2387" s="2">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9">
        <f t="shared" si="74"/>
        <v>0.60579286825508438</v>
      </c>
      <c r="F2387" t="str">
        <f t="shared" si="75"/>
        <v>Poor</v>
      </c>
    </row>
    <row r="2388" spans="1:6" ht="15" hidden="1" customHeight="1" x14ac:dyDescent="0.3">
      <c r="A2388" t="s">
        <v>190</v>
      </c>
      <c r="B2388" s="2">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9">
        <f t="shared" si="74"/>
        <v>0.572852524338336</v>
      </c>
      <c r="F2388" t="str">
        <f t="shared" si="75"/>
        <v>Poor</v>
      </c>
    </row>
    <row r="2389" spans="1:6" ht="15" hidden="1" customHeight="1" x14ac:dyDescent="0.3">
      <c r="A2389" t="s">
        <v>190</v>
      </c>
      <c r="B2389" s="2">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9">
        <f t="shared" si="74"/>
        <v>0.52325131955143156</v>
      </c>
      <c r="F2389" t="str">
        <f t="shared" si="75"/>
        <v>Poor</v>
      </c>
    </row>
    <row r="2390" spans="1:6" ht="15" hidden="1" customHeight="1" x14ac:dyDescent="0.3">
      <c r="A2390" t="s">
        <v>190</v>
      </c>
      <c r="B2390" s="2">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9">
        <f t="shared" si="74"/>
        <v>0.30609426898131548</v>
      </c>
      <c r="F2390" t="str">
        <f t="shared" si="75"/>
        <v>Poor</v>
      </c>
    </row>
    <row r="2391" spans="1:6" ht="15" hidden="1" customHeight="1" x14ac:dyDescent="0.3">
      <c r="A2391" t="s">
        <v>190</v>
      </c>
      <c r="B2391" s="2">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9">
        <f t="shared" si="74"/>
        <v>0.52986058447871487</v>
      </c>
      <c r="F2391" t="str">
        <f t="shared" si="75"/>
        <v>Poor</v>
      </c>
    </row>
    <row r="2392" spans="1:6" ht="15" hidden="1" customHeight="1" x14ac:dyDescent="0.3">
      <c r="A2392" t="s">
        <v>190</v>
      </c>
      <c r="B2392" s="2">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9">
        <f t="shared" si="74"/>
        <v>0.48720677584062161</v>
      </c>
      <c r="F2392" t="str">
        <f t="shared" si="75"/>
        <v>Poor</v>
      </c>
    </row>
    <row r="2393" spans="1:6" ht="15" hidden="1" customHeight="1" x14ac:dyDescent="0.3">
      <c r="A2393" t="s">
        <v>190</v>
      </c>
      <c r="B2393" s="2">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9">
        <f t="shared" si="74"/>
        <v>0.57692001211213284</v>
      </c>
      <c r="F2393" t="str">
        <f t="shared" si="75"/>
        <v>Poor</v>
      </c>
    </row>
    <row r="2394" spans="1:6" ht="15" hidden="1" customHeight="1" x14ac:dyDescent="0.3">
      <c r="A2394" t="s">
        <v>190</v>
      </c>
      <c r="B2394" s="2">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9">
        <f t="shared" si="74"/>
        <v>0.80991122817286121</v>
      </c>
      <c r="F2394" t="str">
        <f t="shared" si="75"/>
        <v>Moderate</v>
      </c>
    </row>
    <row r="2395" spans="1:6" ht="15" hidden="1" customHeight="1" x14ac:dyDescent="0.3">
      <c r="A2395" t="s">
        <v>190</v>
      </c>
      <c r="B2395" s="2">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9">
        <f t="shared" si="74"/>
        <v>0.90772674708326462</v>
      </c>
      <c r="F2395" t="str">
        <f t="shared" si="75"/>
        <v>Expected</v>
      </c>
    </row>
    <row r="2396" spans="1:6" ht="15" hidden="1" customHeight="1" x14ac:dyDescent="0.3">
      <c r="A2396" t="s">
        <v>190</v>
      </c>
      <c r="B2396" s="2">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9">
        <f t="shared" si="74"/>
        <v>0.7562509962152546</v>
      </c>
      <c r="F2396" t="str">
        <f t="shared" si="75"/>
        <v>Moderate</v>
      </c>
    </row>
    <row r="2397" spans="1:6" ht="15" hidden="1" customHeight="1" x14ac:dyDescent="0.3">
      <c r="A2397" t="s">
        <v>190</v>
      </c>
      <c r="B2397" s="2">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9">
        <f t="shared" si="74"/>
        <v>0.67945368715339838</v>
      </c>
      <c r="F2397" t="str">
        <f t="shared" si="75"/>
        <v>Poor</v>
      </c>
    </row>
    <row r="2398" spans="1:6" ht="15" hidden="1" customHeight="1" x14ac:dyDescent="0.3">
      <c r="A2398" t="s">
        <v>190</v>
      </c>
      <c r="B2398" s="2">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9">
        <f t="shared" si="74"/>
        <v>0.70173135410708198</v>
      </c>
      <c r="F2398" t="str">
        <f t="shared" si="75"/>
        <v>Moderate</v>
      </c>
    </row>
    <row r="2399" spans="1:6" ht="15" hidden="1" customHeight="1" x14ac:dyDescent="0.3">
      <c r="A2399" t="s">
        <v>190</v>
      </c>
      <c r="B2399" s="2">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9">
        <f t="shared" si="74"/>
        <v>0.58852702729253159</v>
      </c>
      <c r="F2399" t="str">
        <f t="shared" si="75"/>
        <v>Poor</v>
      </c>
    </row>
    <row r="2400" spans="1:6" ht="15" hidden="1" customHeight="1" x14ac:dyDescent="0.3">
      <c r="A2400" t="s">
        <v>190</v>
      </c>
      <c r="B2400" s="2">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9">
        <f t="shared" si="74"/>
        <v>0.52717496116344165</v>
      </c>
      <c r="F2400" t="str">
        <f t="shared" si="75"/>
        <v>Poor</v>
      </c>
    </row>
    <row r="2401" spans="1:6" ht="15" hidden="1" customHeight="1" x14ac:dyDescent="0.3">
      <c r="A2401" t="s">
        <v>190</v>
      </c>
      <c r="B2401" s="2">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9">
        <f t="shared" si="74"/>
        <v>0.57285214213193303</v>
      </c>
      <c r="F2401" t="str">
        <f t="shared" si="75"/>
        <v>Poor</v>
      </c>
    </row>
    <row r="2402" spans="1:6" ht="15" hidden="1" customHeight="1" x14ac:dyDescent="0.3">
      <c r="A2402" t="s">
        <v>190</v>
      </c>
      <c r="B2402" s="2">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9">
        <f t="shared" si="74"/>
        <v>0.58604461355523407</v>
      </c>
      <c r="F2402" t="str">
        <f t="shared" si="75"/>
        <v>Poor</v>
      </c>
    </row>
    <row r="2403" spans="1:6" ht="15" hidden="1" customHeight="1" x14ac:dyDescent="0.3">
      <c r="A2403" t="s">
        <v>190</v>
      </c>
      <c r="B2403" s="2">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9">
        <f t="shared" si="74"/>
        <v>0.59451032918608859</v>
      </c>
      <c r="F2403" t="str">
        <f t="shared" si="75"/>
        <v>Poor</v>
      </c>
    </row>
    <row r="2404" spans="1:6" ht="15" hidden="1" customHeight="1" x14ac:dyDescent="0.3">
      <c r="A2404" t="s">
        <v>190</v>
      </c>
      <c r="B2404" s="2">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9">
        <f t="shared" si="74"/>
        <v>0.56542410771794993</v>
      </c>
      <c r="F2404" t="str">
        <f t="shared" si="75"/>
        <v>Poor</v>
      </c>
    </row>
    <row r="2405" spans="1:6" ht="15" hidden="1" customHeight="1" x14ac:dyDescent="0.3">
      <c r="A2405" t="s">
        <v>190</v>
      </c>
      <c r="B2405" s="2">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9">
        <f t="shared" si="74"/>
        <v>0.60235321438247469</v>
      </c>
      <c r="F2405" t="str">
        <f t="shared" si="75"/>
        <v>Poor</v>
      </c>
    </row>
    <row r="2406" spans="1:6" ht="15" hidden="1" customHeight="1" x14ac:dyDescent="0.3">
      <c r="A2406" t="s">
        <v>190</v>
      </c>
      <c r="B2406" s="2">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9">
        <f t="shared" si="74"/>
        <v>0.78086430592137346</v>
      </c>
      <c r="F2406" t="str">
        <f t="shared" si="75"/>
        <v>Moderate</v>
      </c>
    </row>
    <row r="2407" spans="1:6" ht="15" hidden="1" customHeight="1" x14ac:dyDescent="0.3">
      <c r="A2407" t="s">
        <v>190</v>
      </c>
      <c r="B2407" s="2">
        <v>46174</v>
      </c>
      <c r="C2407" cm="1">
        <f t="array" ref="C2407">IFERROR(IF(SUMPRODUCT((measured[Site Name]=A2407)*(measured[Date]=B2407)*ISNUMBER(measured[Measured Value (kWh)]))=0,"",SUMIFS(measured[Measured Value (kWh)],measured[Site Name],A2407,measured[Date],B2407)),"")</f>
        <v>9053</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9">
        <f t="shared" si="74"/>
        <v>0.78185522421445264</v>
      </c>
      <c r="F2407" t="str">
        <f t="shared" si="75"/>
        <v>Moderate</v>
      </c>
    </row>
    <row r="2408" spans="1:6" ht="15" hidden="1" customHeight="1" x14ac:dyDescent="0.3">
      <c r="A2408" t="s">
        <v>190</v>
      </c>
      <c r="B2408" s="2">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9" t="str">
        <f t="shared" si="74"/>
        <v/>
      </c>
      <c r="F2408" t="str">
        <f t="shared" si="75"/>
        <v/>
      </c>
    </row>
    <row r="2409" spans="1:6" ht="15" hidden="1" customHeight="1" x14ac:dyDescent="0.3">
      <c r="A2409" t="s">
        <v>190</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9" t="str">
        <f t="shared" si="74"/>
        <v/>
      </c>
      <c r="F2409" t="str">
        <f t="shared" si="75"/>
        <v/>
      </c>
    </row>
    <row r="2410" spans="1:6" ht="15" hidden="1" customHeight="1" x14ac:dyDescent="0.3">
      <c r="A2410" t="s">
        <v>190</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9" t="str">
        <f t="shared" si="74"/>
        <v/>
      </c>
      <c r="F2410" t="str">
        <f t="shared" si="75"/>
        <v/>
      </c>
    </row>
    <row r="2411" spans="1:6" ht="15" hidden="1" customHeight="1" x14ac:dyDescent="0.3">
      <c r="A2411" t="s">
        <v>190</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9" t="str">
        <f t="shared" si="74"/>
        <v/>
      </c>
      <c r="F2411" t="str">
        <f t="shared" si="75"/>
        <v/>
      </c>
    </row>
    <row r="2412" spans="1:6" ht="15" hidden="1" customHeight="1" x14ac:dyDescent="0.3">
      <c r="A2412" t="s">
        <v>190</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9" t="str">
        <f t="shared" si="74"/>
        <v/>
      </c>
      <c r="F2412" t="str">
        <f t="shared" si="75"/>
        <v/>
      </c>
    </row>
    <row r="2413" spans="1:6" ht="15" hidden="1" customHeight="1" x14ac:dyDescent="0.3">
      <c r="A2413" t="s">
        <v>190</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9" t="str">
        <f t="shared" si="74"/>
        <v/>
      </c>
      <c r="F2413" t="str">
        <f t="shared" si="75"/>
        <v/>
      </c>
    </row>
    <row r="2414" spans="1:6" ht="15" hidden="1" customHeight="1" x14ac:dyDescent="0.3">
      <c r="A2414" t="s">
        <v>199</v>
      </c>
      <c r="B2414" s="2">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9">
        <f t="shared" si="74"/>
        <v>0.89947614234659157</v>
      </c>
      <c r="F2414" t="str">
        <f t="shared" si="75"/>
        <v>Moderate</v>
      </c>
    </row>
    <row r="2415" spans="1:6" ht="15" hidden="1" customHeight="1" x14ac:dyDescent="0.3">
      <c r="A2415" t="s">
        <v>199</v>
      </c>
      <c r="B2415" s="2">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9">
        <f t="shared" si="74"/>
        <v>1.0421540296316683</v>
      </c>
      <c r="F2415" t="str">
        <f t="shared" si="75"/>
        <v>Expected</v>
      </c>
    </row>
    <row r="2416" spans="1:6" ht="15" hidden="1" customHeight="1" x14ac:dyDescent="0.3">
      <c r="A2416" t="s">
        <v>199</v>
      </c>
      <c r="B2416" s="2">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9">
        <f t="shared" si="74"/>
        <v>0.8861341654107675</v>
      </c>
      <c r="F2416" t="str">
        <f t="shared" si="75"/>
        <v>Moderate</v>
      </c>
    </row>
    <row r="2417" spans="1:6" ht="15" hidden="1" customHeight="1" x14ac:dyDescent="0.3">
      <c r="A2417" t="s">
        <v>199</v>
      </c>
      <c r="B2417" s="2">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9">
        <f t="shared" si="74"/>
        <v>0.92358169486545394</v>
      </c>
      <c r="F2417" t="str">
        <f t="shared" si="75"/>
        <v>Expected</v>
      </c>
    </row>
    <row r="2418" spans="1:6" ht="15" hidden="1" customHeight="1" x14ac:dyDescent="0.3">
      <c r="A2418" t="s">
        <v>199</v>
      </c>
      <c r="B2418" s="2">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9">
        <f t="shared" si="74"/>
        <v>1.0113694213473614</v>
      </c>
      <c r="F2418" t="str">
        <f t="shared" si="75"/>
        <v>Expected</v>
      </c>
    </row>
    <row r="2419" spans="1:6" ht="15" hidden="1" customHeight="1" x14ac:dyDescent="0.3">
      <c r="A2419" t="s">
        <v>199</v>
      </c>
      <c r="B2419" s="2">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9">
        <f t="shared" si="74"/>
        <v>0.9142474043101243</v>
      </c>
      <c r="F2419" t="str">
        <f t="shared" si="75"/>
        <v>Expected</v>
      </c>
    </row>
    <row r="2420" spans="1:6" ht="15" hidden="1" customHeight="1" x14ac:dyDescent="0.3">
      <c r="A2420" t="s">
        <v>199</v>
      </c>
      <c r="B2420" s="2">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9">
        <f t="shared" si="74"/>
        <v>1.0060096347495449</v>
      </c>
      <c r="F2420" t="str">
        <f t="shared" si="75"/>
        <v>Expected</v>
      </c>
    </row>
    <row r="2421" spans="1:6" ht="15" hidden="1" customHeight="1" x14ac:dyDescent="0.3">
      <c r="A2421" t="s">
        <v>199</v>
      </c>
      <c r="B2421" s="2">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9">
        <f t="shared" si="74"/>
        <v>0.85635319557216705</v>
      </c>
      <c r="F2421" t="str">
        <f t="shared" si="75"/>
        <v>Moderate</v>
      </c>
    </row>
    <row r="2422" spans="1:6" ht="15" hidden="1" customHeight="1" x14ac:dyDescent="0.3">
      <c r="A2422" t="s">
        <v>199</v>
      </c>
      <c r="B2422" s="2">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9">
        <f t="shared" si="74"/>
        <v>0.8030187057701863</v>
      </c>
      <c r="F2422" t="str">
        <f t="shared" si="75"/>
        <v>Moderate</v>
      </c>
    </row>
    <row r="2423" spans="1:6" ht="15" hidden="1" customHeight="1" x14ac:dyDescent="0.3">
      <c r="A2423" t="s">
        <v>199</v>
      </c>
      <c r="B2423" s="2">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9">
        <f t="shared" si="74"/>
        <v>1.0414422731702313</v>
      </c>
      <c r="F2423" t="str">
        <f t="shared" si="75"/>
        <v>Expected</v>
      </c>
    </row>
    <row r="2424" spans="1:6" ht="15" hidden="1" customHeight="1" x14ac:dyDescent="0.3">
      <c r="A2424" t="s">
        <v>199</v>
      </c>
      <c r="B2424" s="2">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9">
        <f t="shared" si="74"/>
        <v>1.0691849172861831</v>
      </c>
      <c r="F2424" t="str">
        <f t="shared" si="75"/>
        <v>Expected</v>
      </c>
    </row>
    <row r="2425" spans="1:6" ht="15" hidden="1" customHeight="1" x14ac:dyDescent="0.3">
      <c r="A2425" t="s">
        <v>199</v>
      </c>
      <c r="B2425" s="2">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9">
        <f t="shared" si="74"/>
        <v>0.88865649529714219</v>
      </c>
      <c r="F2425" t="str">
        <f t="shared" si="75"/>
        <v>Moderate</v>
      </c>
    </row>
    <row r="2426" spans="1:6" ht="15" hidden="1" customHeight="1" x14ac:dyDescent="0.3">
      <c r="A2426" t="s">
        <v>199</v>
      </c>
      <c r="B2426" s="2">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9">
        <f t="shared" si="74"/>
        <v>1.0141567080864331</v>
      </c>
      <c r="F2426" t="str">
        <f t="shared" si="75"/>
        <v>Expected</v>
      </c>
    </row>
    <row r="2427" spans="1:6" ht="15" hidden="1" customHeight="1" x14ac:dyDescent="0.3">
      <c r="A2427" t="s">
        <v>199</v>
      </c>
      <c r="B2427" s="2">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9">
        <f t="shared" si="74"/>
        <v>0.8112777701328685</v>
      </c>
      <c r="F2427" t="str">
        <f t="shared" si="75"/>
        <v>Moderate</v>
      </c>
    </row>
    <row r="2428" spans="1:6" ht="15" hidden="1" customHeight="1" x14ac:dyDescent="0.3">
      <c r="A2428" t="s">
        <v>199</v>
      </c>
      <c r="B2428" s="2">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9">
        <f t="shared" si="74"/>
        <v>0.82783214111354042</v>
      </c>
      <c r="F2428" t="str">
        <f t="shared" si="75"/>
        <v>Moderate</v>
      </c>
    </row>
    <row r="2429" spans="1:6" ht="15" hidden="1" customHeight="1" x14ac:dyDescent="0.3">
      <c r="A2429" t="s">
        <v>199</v>
      </c>
      <c r="B2429" s="2">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9">
        <f t="shared" si="74"/>
        <v>0.73325008365776223</v>
      </c>
      <c r="F2429" t="str">
        <f t="shared" si="75"/>
        <v>Moderate</v>
      </c>
    </row>
    <row r="2430" spans="1:6" ht="15" hidden="1" customHeight="1" x14ac:dyDescent="0.3">
      <c r="A2430" t="s">
        <v>199</v>
      </c>
      <c r="B2430" s="2">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9">
        <f t="shared" si="74"/>
        <v>1.0178339110971049</v>
      </c>
      <c r="F2430" t="str">
        <f t="shared" si="75"/>
        <v>Expected</v>
      </c>
    </row>
    <row r="2431" spans="1:6" ht="15" hidden="1" customHeight="1" x14ac:dyDescent="0.3">
      <c r="A2431" t="s">
        <v>199</v>
      </c>
      <c r="B2431" s="2">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9">
        <f t="shared" si="74"/>
        <v>0.93663605649209158</v>
      </c>
      <c r="F2431" t="str">
        <f t="shared" si="75"/>
        <v>Expected</v>
      </c>
    </row>
    <row r="2432" spans="1:6" ht="15" hidden="1" customHeight="1" x14ac:dyDescent="0.3">
      <c r="A2432" t="s">
        <v>199</v>
      </c>
      <c r="B2432" s="2">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9">
        <f t="shared" si="74"/>
        <v>0.92255143635103998</v>
      </c>
      <c r="F2432" t="str">
        <f t="shared" si="75"/>
        <v>Expected</v>
      </c>
    </row>
    <row r="2433" spans="1:6" ht="15" hidden="1" customHeight="1" x14ac:dyDescent="0.3">
      <c r="A2433" t="s">
        <v>199</v>
      </c>
      <c r="B2433" s="2">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9">
        <f t="shared" si="74"/>
        <v>0.91420715727971813</v>
      </c>
      <c r="F2433" t="str">
        <f t="shared" si="75"/>
        <v>Expected</v>
      </c>
    </row>
    <row r="2434" spans="1:6" ht="15" hidden="1" customHeight="1" x14ac:dyDescent="0.3">
      <c r="A2434" t="s">
        <v>199</v>
      </c>
      <c r="B2434" s="2">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9">
        <f t="shared" ref="E2434:E2497" si="76">IF(OR(C2434="",D2434="",D2434=0),"",C2434/D2434)</f>
        <v>0.83041265493023952</v>
      </c>
      <c r="F2434" t="str">
        <f t="shared" ref="F2434:F2497" si="77">IF(E2434="","",IF(E2434&gt;=0.9,"Expected",IF(E2434&gt;=0.7,"Moderate","Poor")))</f>
        <v>Moderate</v>
      </c>
    </row>
    <row r="2435" spans="1:6" ht="15" hidden="1" customHeight="1" x14ac:dyDescent="0.3">
      <c r="A2435" t="s">
        <v>199</v>
      </c>
      <c r="B2435" s="2">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9">
        <f t="shared" si="76"/>
        <v>0.92321895676257881</v>
      </c>
      <c r="F2435" t="str">
        <f t="shared" si="77"/>
        <v>Expected</v>
      </c>
    </row>
    <row r="2436" spans="1:6" ht="15" hidden="1" customHeight="1" x14ac:dyDescent="0.3">
      <c r="A2436" t="s">
        <v>199</v>
      </c>
      <c r="B2436" s="2">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9">
        <f t="shared" si="76"/>
        <v>0.73806175071997859</v>
      </c>
      <c r="F2436" t="str">
        <f t="shared" si="77"/>
        <v>Moderate</v>
      </c>
    </row>
    <row r="2437" spans="1:6" ht="15" hidden="1" customHeight="1" x14ac:dyDescent="0.3">
      <c r="A2437" t="s">
        <v>199</v>
      </c>
      <c r="B2437" s="2">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9">
        <f t="shared" si="76"/>
        <v>0.80872969927854232</v>
      </c>
      <c r="F2437" t="str">
        <f t="shared" si="77"/>
        <v>Moderate</v>
      </c>
    </row>
    <row r="2438" spans="1:6" ht="15" hidden="1" customHeight="1" x14ac:dyDescent="0.3">
      <c r="A2438" t="s">
        <v>199</v>
      </c>
      <c r="B2438" s="2">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9">
        <f t="shared" si="76"/>
        <v>0.93699835510018026</v>
      </c>
      <c r="F2438" t="str">
        <f t="shared" si="77"/>
        <v>Expected</v>
      </c>
    </row>
    <row r="2439" spans="1:6" ht="15" hidden="1" customHeight="1" x14ac:dyDescent="0.3">
      <c r="A2439" t="s">
        <v>199</v>
      </c>
      <c r="B2439" s="2">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9">
        <f t="shared" si="76"/>
        <v>1.0390960659296973</v>
      </c>
      <c r="F2439" t="str">
        <f t="shared" si="77"/>
        <v>Expected</v>
      </c>
    </row>
    <row r="2440" spans="1:6" ht="15" hidden="1" customHeight="1" x14ac:dyDescent="0.3">
      <c r="A2440" t="s">
        <v>199</v>
      </c>
      <c r="B2440" s="2">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9">
        <f t="shared" si="76"/>
        <v>0.74660553444701527</v>
      </c>
      <c r="F2440" t="str">
        <f t="shared" si="77"/>
        <v>Moderate</v>
      </c>
    </row>
    <row r="2441" spans="1:6" ht="15" hidden="1" customHeight="1" x14ac:dyDescent="0.3">
      <c r="A2441" t="s">
        <v>199</v>
      </c>
      <c r="B2441" s="2">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9">
        <f t="shared" si="76"/>
        <v>0.66415285293373494</v>
      </c>
      <c r="F2441" t="str">
        <f t="shared" si="77"/>
        <v>Poor</v>
      </c>
    </row>
    <row r="2442" spans="1:6" ht="15" hidden="1" customHeight="1" x14ac:dyDescent="0.3">
      <c r="A2442" t="s">
        <v>199</v>
      </c>
      <c r="B2442" s="2">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9">
        <f t="shared" si="76"/>
        <v>0.72124635362375056</v>
      </c>
      <c r="F2442" t="str">
        <f t="shared" si="77"/>
        <v>Moderate</v>
      </c>
    </row>
    <row r="2443" spans="1:6" ht="15" hidden="1" customHeight="1" x14ac:dyDescent="0.3">
      <c r="A2443" t="s">
        <v>199</v>
      </c>
      <c r="B2443" s="2">
        <v>46174</v>
      </c>
      <c r="C2443" cm="1">
        <f t="array" ref="C2443">IFERROR(IF(SUMPRODUCT((measured[Site Name]=A2443)*(measured[Date]=B2443)*ISNUMBER(measured[Measured Value (kWh)]))=0,"",SUMIFS(measured[Measured Value (kWh)],measured[Site Name],A2443,measured[Date],B2443)),"")</f>
        <v>1788</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9">
        <f t="shared" si="76"/>
        <v>0.63090480853203479</v>
      </c>
      <c r="F2443" t="str">
        <f t="shared" si="77"/>
        <v>Poor</v>
      </c>
    </row>
    <row r="2444" spans="1:6" ht="15" hidden="1" customHeight="1" x14ac:dyDescent="0.3">
      <c r="A2444" t="s">
        <v>199</v>
      </c>
      <c r="B2444" s="2">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9" t="str">
        <f t="shared" si="76"/>
        <v/>
      </c>
      <c r="F2444" t="str">
        <f t="shared" si="77"/>
        <v/>
      </c>
    </row>
    <row r="2445" spans="1:6" ht="15" hidden="1" customHeight="1" x14ac:dyDescent="0.3">
      <c r="A2445" t="s">
        <v>199</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9" t="str">
        <f t="shared" si="76"/>
        <v/>
      </c>
      <c r="F2445" t="str">
        <f t="shared" si="77"/>
        <v/>
      </c>
    </row>
    <row r="2446" spans="1:6" ht="15" hidden="1" customHeight="1" x14ac:dyDescent="0.3">
      <c r="A2446" t="s">
        <v>199</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9" t="str">
        <f t="shared" si="76"/>
        <v/>
      </c>
      <c r="F2446" t="str">
        <f t="shared" si="77"/>
        <v/>
      </c>
    </row>
    <row r="2447" spans="1:6" ht="15" hidden="1" customHeight="1" x14ac:dyDescent="0.3">
      <c r="A2447" t="s">
        <v>199</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9" t="str">
        <f t="shared" si="76"/>
        <v/>
      </c>
      <c r="F2447" t="str">
        <f t="shared" si="77"/>
        <v/>
      </c>
    </row>
    <row r="2448" spans="1:6" ht="15" hidden="1" customHeight="1" x14ac:dyDescent="0.3">
      <c r="A2448" t="s">
        <v>199</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9" t="str">
        <f t="shared" si="76"/>
        <v/>
      </c>
      <c r="F2448" t="str">
        <f t="shared" si="77"/>
        <v/>
      </c>
    </row>
    <row r="2449" spans="1:6" ht="15" hidden="1" customHeight="1" x14ac:dyDescent="0.3">
      <c r="A2449" t="s">
        <v>199</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9" t="str">
        <f t="shared" si="76"/>
        <v/>
      </c>
      <c r="F2449" t="str">
        <f t="shared" si="77"/>
        <v/>
      </c>
    </row>
    <row r="2450" spans="1:6" ht="15" hidden="1" customHeight="1" x14ac:dyDescent="0.3">
      <c r="A2450" t="s">
        <v>192</v>
      </c>
      <c r="B2450" s="2">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9" t="str">
        <f t="shared" si="76"/>
        <v/>
      </c>
      <c r="F2450" t="str">
        <f t="shared" si="77"/>
        <v/>
      </c>
    </row>
    <row r="2451" spans="1:6" ht="15" hidden="1" customHeight="1" x14ac:dyDescent="0.3">
      <c r="A2451" t="s">
        <v>192</v>
      </c>
      <c r="B2451" s="2">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9" t="str">
        <f t="shared" si="76"/>
        <v/>
      </c>
      <c r="F2451" t="str">
        <f t="shared" si="77"/>
        <v/>
      </c>
    </row>
    <row r="2452" spans="1:6" ht="15" hidden="1" customHeight="1" x14ac:dyDescent="0.3">
      <c r="A2452" t="s">
        <v>192</v>
      </c>
      <c r="B2452" s="2">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9" t="str">
        <f t="shared" si="76"/>
        <v/>
      </c>
      <c r="F2452" t="str">
        <f t="shared" si="77"/>
        <v/>
      </c>
    </row>
    <row r="2453" spans="1:6" ht="15" hidden="1" customHeight="1" x14ac:dyDescent="0.3">
      <c r="A2453" t="s">
        <v>192</v>
      </c>
      <c r="B2453" s="2">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9" t="str">
        <f t="shared" si="76"/>
        <v/>
      </c>
      <c r="F2453" t="str">
        <f t="shared" si="77"/>
        <v/>
      </c>
    </row>
    <row r="2454" spans="1:6" ht="15" hidden="1" customHeight="1" x14ac:dyDescent="0.3">
      <c r="A2454" t="s">
        <v>192</v>
      </c>
      <c r="B2454" s="2">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9" t="str">
        <f t="shared" si="76"/>
        <v/>
      </c>
      <c r="F2454" t="str">
        <f t="shared" si="77"/>
        <v/>
      </c>
    </row>
    <row r="2455" spans="1:6" ht="15" hidden="1" customHeight="1" x14ac:dyDescent="0.3">
      <c r="A2455" t="s">
        <v>192</v>
      </c>
      <c r="B2455" s="2">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9" t="str">
        <f t="shared" si="76"/>
        <v/>
      </c>
      <c r="F2455" t="str">
        <f t="shared" si="77"/>
        <v/>
      </c>
    </row>
    <row r="2456" spans="1:6" ht="15" hidden="1" customHeight="1" x14ac:dyDescent="0.3">
      <c r="A2456" t="s">
        <v>192</v>
      </c>
      <c r="B2456" s="2">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9" t="str">
        <f t="shared" si="76"/>
        <v/>
      </c>
      <c r="F2456" t="str">
        <f t="shared" si="77"/>
        <v/>
      </c>
    </row>
    <row r="2457" spans="1:6" ht="15" hidden="1" customHeight="1" x14ac:dyDescent="0.3">
      <c r="A2457" t="s">
        <v>192</v>
      </c>
      <c r="B2457" s="2">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9" t="str">
        <f t="shared" si="76"/>
        <v/>
      </c>
      <c r="F2457" t="str">
        <f t="shared" si="77"/>
        <v/>
      </c>
    </row>
    <row r="2458" spans="1:6" ht="15" hidden="1" customHeight="1" x14ac:dyDescent="0.3">
      <c r="A2458" t="s">
        <v>192</v>
      </c>
      <c r="B2458" s="2">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9" t="str">
        <f t="shared" si="76"/>
        <v/>
      </c>
      <c r="F2458" t="str">
        <f t="shared" si="77"/>
        <v/>
      </c>
    </row>
    <row r="2459" spans="1:6" ht="15" hidden="1" customHeight="1" x14ac:dyDescent="0.3">
      <c r="A2459" t="s">
        <v>192</v>
      </c>
      <c r="B2459" s="2">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9" t="str">
        <f t="shared" si="76"/>
        <v/>
      </c>
      <c r="F2459" t="str">
        <f t="shared" si="77"/>
        <v/>
      </c>
    </row>
    <row r="2460" spans="1:6" ht="15" hidden="1" customHeight="1" x14ac:dyDescent="0.3">
      <c r="A2460" t="s">
        <v>192</v>
      </c>
      <c r="B2460" s="2">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9" t="str">
        <f t="shared" si="76"/>
        <v/>
      </c>
      <c r="F2460" t="str">
        <f t="shared" si="77"/>
        <v/>
      </c>
    </row>
    <row r="2461" spans="1:6" ht="15" hidden="1" customHeight="1" x14ac:dyDescent="0.3">
      <c r="A2461" t="s">
        <v>192</v>
      </c>
      <c r="B2461" s="2">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9" t="str">
        <f t="shared" si="76"/>
        <v/>
      </c>
      <c r="F2461" t="str">
        <f t="shared" si="77"/>
        <v/>
      </c>
    </row>
    <row r="2462" spans="1:6" ht="15" hidden="1" customHeight="1" x14ac:dyDescent="0.3">
      <c r="A2462" t="s">
        <v>192</v>
      </c>
      <c r="B2462" s="2">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9" t="str">
        <f t="shared" si="76"/>
        <v/>
      </c>
      <c r="F2462" t="str">
        <f t="shared" si="77"/>
        <v/>
      </c>
    </row>
    <row r="2463" spans="1:6" ht="15" hidden="1" customHeight="1" x14ac:dyDescent="0.3">
      <c r="A2463" t="s">
        <v>192</v>
      </c>
      <c r="B2463" s="2">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9" t="str">
        <f t="shared" si="76"/>
        <v/>
      </c>
      <c r="F2463" t="str">
        <f t="shared" si="77"/>
        <v/>
      </c>
    </row>
    <row r="2464" spans="1:6" ht="15" hidden="1" customHeight="1" x14ac:dyDescent="0.3">
      <c r="A2464" t="s">
        <v>192</v>
      </c>
      <c r="B2464" s="2">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9" t="str">
        <f t="shared" si="76"/>
        <v/>
      </c>
      <c r="F2464" t="str">
        <f t="shared" si="77"/>
        <v/>
      </c>
    </row>
    <row r="2465" spans="1:6" ht="15" hidden="1" customHeight="1" x14ac:dyDescent="0.3">
      <c r="A2465" t="s">
        <v>192</v>
      </c>
      <c r="B2465" s="2">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9" t="str">
        <f t="shared" si="76"/>
        <v/>
      </c>
      <c r="F2465" t="str">
        <f t="shared" si="77"/>
        <v/>
      </c>
    </row>
    <row r="2466" spans="1:6" ht="15" hidden="1" customHeight="1" x14ac:dyDescent="0.3">
      <c r="A2466" t="s">
        <v>192</v>
      </c>
      <c r="B2466" s="2">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9" t="str">
        <f t="shared" si="76"/>
        <v/>
      </c>
      <c r="F2466" t="str">
        <f t="shared" si="77"/>
        <v/>
      </c>
    </row>
    <row r="2467" spans="1:6" ht="15" hidden="1" customHeight="1" x14ac:dyDescent="0.3">
      <c r="A2467" t="s">
        <v>192</v>
      </c>
      <c r="B2467" s="2">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9" t="str">
        <f t="shared" si="76"/>
        <v/>
      </c>
      <c r="F2467" t="str">
        <f t="shared" si="77"/>
        <v/>
      </c>
    </row>
    <row r="2468" spans="1:6" ht="15" hidden="1" customHeight="1" x14ac:dyDescent="0.3">
      <c r="A2468" t="s">
        <v>192</v>
      </c>
      <c r="B2468" s="2">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9" t="str">
        <f t="shared" si="76"/>
        <v/>
      </c>
      <c r="F2468" t="str">
        <f t="shared" si="77"/>
        <v/>
      </c>
    </row>
    <row r="2469" spans="1:6" ht="15" hidden="1" customHeight="1" x14ac:dyDescent="0.3">
      <c r="A2469" t="s">
        <v>192</v>
      </c>
      <c r="B2469" s="2">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9" t="str">
        <f t="shared" si="76"/>
        <v/>
      </c>
      <c r="F2469" t="str">
        <f t="shared" si="77"/>
        <v/>
      </c>
    </row>
    <row r="2470" spans="1:6" ht="15" hidden="1" customHeight="1" x14ac:dyDescent="0.3">
      <c r="A2470" t="s">
        <v>192</v>
      </c>
      <c r="B2470" s="2">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9" t="str">
        <f t="shared" si="76"/>
        <v/>
      </c>
      <c r="F2470" t="str">
        <f t="shared" si="77"/>
        <v/>
      </c>
    </row>
    <row r="2471" spans="1:6" ht="15" hidden="1" customHeight="1" x14ac:dyDescent="0.3">
      <c r="A2471" t="s">
        <v>192</v>
      </c>
      <c r="B2471" s="2">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9" t="str">
        <f t="shared" si="76"/>
        <v/>
      </c>
      <c r="F2471" t="str">
        <f t="shared" si="77"/>
        <v/>
      </c>
    </row>
    <row r="2472" spans="1:6" ht="15" hidden="1" customHeight="1" x14ac:dyDescent="0.3">
      <c r="A2472" t="s">
        <v>192</v>
      </c>
      <c r="B2472" s="2">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9" t="str">
        <f t="shared" si="76"/>
        <v/>
      </c>
      <c r="F2472" t="str">
        <f t="shared" si="77"/>
        <v/>
      </c>
    </row>
    <row r="2473" spans="1:6" ht="15" hidden="1" customHeight="1" x14ac:dyDescent="0.3">
      <c r="A2473" t="s">
        <v>192</v>
      </c>
      <c r="B2473" s="2">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9" t="str">
        <f t="shared" si="76"/>
        <v/>
      </c>
      <c r="F2473" t="str">
        <f t="shared" si="77"/>
        <v/>
      </c>
    </row>
    <row r="2474" spans="1:6" ht="15" hidden="1" customHeight="1" x14ac:dyDescent="0.3">
      <c r="A2474" t="s">
        <v>192</v>
      </c>
      <c r="B2474" s="2">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9" t="str">
        <f t="shared" si="76"/>
        <v/>
      </c>
      <c r="F2474" t="str">
        <f t="shared" si="77"/>
        <v/>
      </c>
    </row>
    <row r="2475" spans="1:6" ht="15" hidden="1" customHeight="1" x14ac:dyDescent="0.3">
      <c r="A2475" t="s">
        <v>192</v>
      </c>
      <c r="B2475" s="2">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9" t="str">
        <f t="shared" si="76"/>
        <v/>
      </c>
      <c r="F2475" t="str">
        <f t="shared" si="77"/>
        <v/>
      </c>
    </row>
    <row r="2476" spans="1:6" ht="15" hidden="1" customHeight="1" x14ac:dyDescent="0.3">
      <c r="A2476" t="s">
        <v>192</v>
      </c>
      <c r="B2476" s="2">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9" t="str">
        <f t="shared" si="76"/>
        <v/>
      </c>
      <c r="F2476" t="str">
        <f t="shared" si="77"/>
        <v/>
      </c>
    </row>
    <row r="2477" spans="1:6" ht="15" hidden="1" customHeight="1" x14ac:dyDescent="0.3">
      <c r="A2477" t="s">
        <v>192</v>
      </c>
      <c r="B2477" s="2">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9" t="str">
        <f t="shared" si="76"/>
        <v/>
      </c>
      <c r="F2477" t="str">
        <f t="shared" si="77"/>
        <v/>
      </c>
    </row>
    <row r="2478" spans="1:6" ht="15" hidden="1" customHeight="1" x14ac:dyDescent="0.3">
      <c r="A2478" t="s">
        <v>192</v>
      </c>
      <c r="B2478" s="2">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9" t="str">
        <f t="shared" si="76"/>
        <v/>
      </c>
      <c r="F2478" t="str">
        <f t="shared" si="77"/>
        <v/>
      </c>
    </row>
    <row r="2479" spans="1:6" ht="15" hidden="1" customHeight="1" x14ac:dyDescent="0.3">
      <c r="A2479" t="s">
        <v>192</v>
      </c>
      <c r="B2479" s="2">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9" t="str">
        <f t="shared" si="76"/>
        <v/>
      </c>
      <c r="F2479" t="str">
        <f t="shared" si="77"/>
        <v/>
      </c>
    </row>
    <row r="2480" spans="1:6" ht="15" hidden="1" customHeight="1" x14ac:dyDescent="0.3">
      <c r="A2480" t="s">
        <v>192</v>
      </c>
      <c r="B2480" s="2">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9" t="str">
        <f t="shared" si="76"/>
        <v/>
      </c>
      <c r="F2480" t="str">
        <f t="shared" si="77"/>
        <v/>
      </c>
    </row>
    <row r="2481" spans="1:6" ht="15" hidden="1" customHeight="1" x14ac:dyDescent="0.3">
      <c r="A2481" t="s">
        <v>192</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9" t="str">
        <f t="shared" si="76"/>
        <v/>
      </c>
      <c r="F2481" t="str">
        <f t="shared" si="77"/>
        <v/>
      </c>
    </row>
    <row r="2482" spans="1:6" ht="15" hidden="1" customHeight="1" x14ac:dyDescent="0.3">
      <c r="A2482" t="s">
        <v>192</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9" t="str">
        <f t="shared" si="76"/>
        <v/>
      </c>
      <c r="F2482" t="str">
        <f t="shared" si="77"/>
        <v/>
      </c>
    </row>
    <row r="2483" spans="1:6" ht="15" hidden="1" customHeight="1" x14ac:dyDescent="0.3">
      <c r="A2483" t="s">
        <v>192</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9" t="str">
        <f t="shared" si="76"/>
        <v/>
      </c>
      <c r="F2483" t="str">
        <f t="shared" si="77"/>
        <v/>
      </c>
    </row>
    <row r="2484" spans="1:6" ht="15" hidden="1" customHeight="1" x14ac:dyDescent="0.3">
      <c r="A2484" t="s">
        <v>192</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9" t="str">
        <f t="shared" si="76"/>
        <v/>
      </c>
      <c r="F2484" t="str">
        <f t="shared" si="77"/>
        <v/>
      </c>
    </row>
    <row r="2485" spans="1:6" ht="15" hidden="1" customHeight="1" x14ac:dyDescent="0.3">
      <c r="A2485" t="s">
        <v>192</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9" t="str">
        <f t="shared" si="76"/>
        <v/>
      </c>
      <c r="F2485" t="str">
        <f t="shared" si="77"/>
        <v/>
      </c>
    </row>
    <row r="2486" spans="1:6" ht="15" hidden="1" customHeight="1" x14ac:dyDescent="0.3">
      <c r="A2486" t="s">
        <v>194</v>
      </c>
      <c r="B2486" s="2">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9">
        <f t="shared" si="76"/>
        <v>0.8300224330387308</v>
      </c>
      <c r="F2486" t="str">
        <f t="shared" si="77"/>
        <v>Moderate</v>
      </c>
    </row>
    <row r="2487" spans="1:6" ht="15" hidden="1" customHeight="1" x14ac:dyDescent="0.3">
      <c r="A2487" t="s">
        <v>194</v>
      </c>
      <c r="B2487" s="2">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9">
        <f t="shared" si="76"/>
        <v>0.91105395192277161</v>
      </c>
      <c r="F2487" t="str">
        <f t="shared" si="77"/>
        <v>Expected</v>
      </c>
    </row>
    <row r="2488" spans="1:6" ht="15" hidden="1" customHeight="1" x14ac:dyDescent="0.3">
      <c r="A2488" t="s">
        <v>194</v>
      </c>
      <c r="B2488" s="2">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9">
        <f t="shared" si="76"/>
        <v>0.93056932835938355</v>
      </c>
      <c r="F2488" t="str">
        <f t="shared" si="77"/>
        <v>Expected</v>
      </c>
    </row>
    <row r="2489" spans="1:6" ht="15" hidden="1" customHeight="1" x14ac:dyDescent="0.3">
      <c r="A2489" t="s">
        <v>194</v>
      </c>
      <c r="B2489" s="2">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9">
        <f t="shared" si="76"/>
        <v>0.86791851054499058</v>
      </c>
      <c r="F2489" t="str">
        <f t="shared" si="77"/>
        <v>Moderate</v>
      </c>
    </row>
    <row r="2490" spans="1:6" ht="15" hidden="1" customHeight="1" x14ac:dyDescent="0.3">
      <c r="A2490" t="s">
        <v>194</v>
      </c>
      <c r="B2490" s="2">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9">
        <f t="shared" si="76"/>
        <v>0.74382599183810838</v>
      </c>
      <c r="F2490" t="str">
        <f t="shared" si="77"/>
        <v>Moderate</v>
      </c>
    </row>
    <row r="2491" spans="1:6" ht="15" hidden="1" customHeight="1" x14ac:dyDescent="0.3">
      <c r="A2491" t="s">
        <v>194</v>
      </c>
      <c r="B2491" s="2">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9">
        <f t="shared" si="76"/>
        <v>0.63166549213060841</v>
      </c>
      <c r="F2491" t="str">
        <f t="shared" si="77"/>
        <v>Poor</v>
      </c>
    </row>
    <row r="2492" spans="1:6" ht="15" hidden="1" customHeight="1" x14ac:dyDescent="0.3">
      <c r="A2492" t="s">
        <v>194</v>
      </c>
      <c r="B2492" s="2">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9">
        <f t="shared" si="76"/>
        <v>0.65660409267715214</v>
      </c>
      <c r="F2492" t="str">
        <f t="shared" si="77"/>
        <v>Poor</v>
      </c>
    </row>
    <row r="2493" spans="1:6" ht="15" hidden="1" customHeight="1" x14ac:dyDescent="0.3">
      <c r="A2493" t="s">
        <v>194</v>
      </c>
      <c r="B2493" s="2">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9">
        <f t="shared" si="76"/>
        <v>0.81996140060656186</v>
      </c>
      <c r="F2493" t="str">
        <f t="shared" si="77"/>
        <v>Moderate</v>
      </c>
    </row>
    <row r="2494" spans="1:6" ht="15" hidden="1" customHeight="1" x14ac:dyDescent="0.3">
      <c r="A2494" t="s">
        <v>194</v>
      </c>
      <c r="B2494" s="2">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9">
        <f t="shared" si="76"/>
        <v>0.79311051229927987</v>
      </c>
      <c r="F2494" t="str">
        <f t="shared" si="77"/>
        <v>Moderate</v>
      </c>
    </row>
    <row r="2495" spans="1:6" ht="15" hidden="1" customHeight="1" x14ac:dyDescent="0.3">
      <c r="A2495" t="s">
        <v>194</v>
      </c>
      <c r="B2495" s="2">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9">
        <f t="shared" si="76"/>
        <v>0.96063665452940528</v>
      </c>
      <c r="F2495" t="str">
        <f t="shared" si="77"/>
        <v>Expected</v>
      </c>
    </row>
    <row r="2496" spans="1:6" ht="15" hidden="1" customHeight="1" x14ac:dyDescent="0.3">
      <c r="A2496" t="s">
        <v>194</v>
      </c>
      <c r="B2496" s="2">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9">
        <f t="shared" si="76"/>
        <v>0.94591092012823141</v>
      </c>
      <c r="F2496" t="str">
        <f t="shared" si="77"/>
        <v>Expected</v>
      </c>
    </row>
    <row r="2497" spans="1:6" ht="15" hidden="1" customHeight="1" x14ac:dyDescent="0.3">
      <c r="A2497" t="s">
        <v>194</v>
      </c>
      <c r="B2497" s="2">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9">
        <f t="shared" si="76"/>
        <v>0.88990592423086701</v>
      </c>
      <c r="F2497" t="str">
        <f t="shared" si="77"/>
        <v>Moderate</v>
      </c>
    </row>
    <row r="2498" spans="1:6" ht="15" hidden="1" customHeight="1" x14ac:dyDescent="0.3">
      <c r="A2498" t="s">
        <v>194</v>
      </c>
      <c r="B2498" s="2">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9">
        <f t="shared" ref="E2498:E2561" si="78">IF(OR(C2498="",D2498="",D2498=0),"",C2498/D2498)</f>
        <v>0.79731884645530959</v>
      </c>
      <c r="F2498" t="str">
        <f t="shared" ref="F2498:F2561" si="79">IF(E2498="","",IF(E2498&gt;=0.9,"Expected",IF(E2498&gt;=0.7,"Moderate","Poor")))</f>
        <v>Moderate</v>
      </c>
    </row>
    <row r="2499" spans="1:6" ht="15" hidden="1" customHeight="1" x14ac:dyDescent="0.3">
      <c r="A2499" t="s">
        <v>194</v>
      </c>
      <c r="B2499" s="2">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9">
        <f t="shared" si="78"/>
        <v>0.67955923914769301</v>
      </c>
      <c r="F2499" t="str">
        <f t="shared" si="79"/>
        <v>Poor</v>
      </c>
    </row>
    <row r="2500" spans="1:6" ht="15" hidden="1" customHeight="1" x14ac:dyDescent="0.3">
      <c r="A2500" t="s">
        <v>194</v>
      </c>
      <c r="B2500" s="2">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9">
        <f t="shared" si="78"/>
        <v>0.67557570320001259</v>
      </c>
      <c r="F2500" t="str">
        <f t="shared" si="79"/>
        <v>Poor</v>
      </c>
    </row>
    <row r="2501" spans="1:6" ht="15" hidden="1" customHeight="1" x14ac:dyDescent="0.3">
      <c r="A2501" t="s">
        <v>194</v>
      </c>
      <c r="B2501" s="2">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9">
        <f t="shared" si="78"/>
        <v>0.61735039668301239</v>
      </c>
      <c r="F2501" t="str">
        <f t="shared" si="79"/>
        <v>Poor</v>
      </c>
    </row>
    <row r="2502" spans="1:6" ht="15" hidden="1" customHeight="1" x14ac:dyDescent="0.3">
      <c r="A2502" t="s">
        <v>194</v>
      </c>
      <c r="B2502" s="2">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9">
        <f t="shared" si="78"/>
        <v>0.67314569397113888</v>
      </c>
      <c r="F2502" t="str">
        <f t="shared" si="79"/>
        <v>Poor</v>
      </c>
    </row>
    <row r="2503" spans="1:6" ht="15" hidden="1" customHeight="1" x14ac:dyDescent="0.3">
      <c r="A2503" t="s">
        <v>194</v>
      </c>
      <c r="B2503" s="2">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9">
        <f t="shared" si="78"/>
        <v>0.6014564247122387</v>
      </c>
      <c r="F2503" t="str">
        <f t="shared" si="79"/>
        <v>Poor</v>
      </c>
    </row>
    <row r="2504" spans="1:6" ht="15" hidden="1" customHeight="1" x14ac:dyDescent="0.3">
      <c r="A2504" t="s">
        <v>194</v>
      </c>
      <c r="B2504" s="2">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9">
        <f t="shared" si="78"/>
        <v>0.59677828513444953</v>
      </c>
      <c r="F2504" t="str">
        <f t="shared" si="79"/>
        <v>Poor</v>
      </c>
    </row>
    <row r="2505" spans="1:6" ht="15" hidden="1" customHeight="1" x14ac:dyDescent="0.3">
      <c r="A2505" t="s">
        <v>194</v>
      </c>
      <c r="B2505" s="2">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9">
        <f t="shared" si="78"/>
        <v>0.77198786876206227</v>
      </c>
      <c r="F2505" t="str">
        <f t="shared" si="79"/>
        <v>Moderate</v>
      </c>
    </row>
    <row r="2506" spans="1:6" ht="15" hidden="1" customHeight="1" x14ac:dyDescent="0.3">
      <c r="A2506" t="s">
        <v>194</v>
      </c>
      <c r="B2506" s="2">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9">
        <f t="shared" si="78"/>
        <v>0.71951968987850423</v>
      </c>
      <c r="F2506" t="str">
        <f t="shared" si="79"/>
        <v>Moderate</v>
      </c>
    </row>
    <row r="2507" spans="1:6" ht="15" hidden="1" customHeight="1" x14ac:dyDescent="0.3">
      <c r="A2507" t="s">
        <v>194</v>
      </c>
      <c r="B2507" s="2">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9">
        <f t="shared" si="78"/>
        <v>0.85444940968774141</v>
      </c>
      <c r="F2507" t="str">
        <f t="shared" si="79"/>
        <v>Moderate</v>
      </c>
    </row>
    <row r="2508" spans="1:6" ht="15" hidden="1" customHeight="1" x14ac:dyDescent="0.3">
      <c r="A2508" t="s">
        <v>194</v>
      </c>
      <c r="B2508" s="2">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9">
        <f t="shared" si="78"/>
        <v>0.72355228156333129</v>
      </c>
      <c r="F2508" t="str">
        <f t="shared" si="79"/>
        <v>Moderate</v>
      </c>
    </row>
    <row r="2509" spans="1:6" ht="15" hidden="1" customHeight="1" x14ac:dyDescent="0.3">
      <c r="A2509" t="s">
        <v>194</v>
      </c>
      <c r="B2509" s="2">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9">
        <f t="shared" si="78"/>
        <v>0.80040681413679127</v>
      </c>
      <c r="F2509" t="str">
        <f t="shared" si="79"/>
        <v>Moderate</v>
      </c>
    </row>
    <row r="2510" spans="1:6" ht="15" hidden="1" customHeight="1" x14ac:dyDescent="0.3">
      <c r="A2510" t="s">
        <v>194</v>
      </c>
      <c r="B2510" s="2">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9">
        <f t="shared" si="78"/>
        <v>0.92272764128760232</v>
      </c>
      <c r="F2510" t="str">
        <f t="shared" si="79"/>
        <v>Expected</v>
      </c>
    </row>
    <row r="2511" spans="1:6" ht="15" hidden="1" customHeight="1" x14ac:dyDescent="0.3">
      <c r="A2511" t="s">
        <v>194</v>
      </c>
      <c r="B2511" s="2">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9">
        <f t="shared" si="78"/>
        <v>0.9624972214283446</v>
      </c>
      <c r="F2511" t="str">
        <f t="shared" si="79"/>
        <v>Expected</v>
      </c>
    </row>
    <row r="2512" spans="1:6" ht="15" hidden="1" customHeight="1" x14ac:dyDescent="0.3">
      <c r="A2512" t="s">
        <v>194</v>
      </c>
      <c r="B2512" s="2">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9">
        <f t="shared" si="78"/>
        <v>0.71476916780784183</v>
      </c>
      <c r="F2512" t="str">
        <f t="shared" si="79"/>
        <v>Moderate</v>
      </c>
    </row>
    <row r="2513" spans="1:6" ht="15" hidden="1" customHeight="1" x14ac:dyDescent="0.3">
      <c r="A2513" t="s">
        <v>194</v>
      </c>
      <c r="B2513" s="2">
        <v>46113</v>
      </c>
      <c r="C2513" s="5"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9">
        <f t="shared" si="78"/>
        <v>0.74614081250249176</v>
      </c>
      <c r="F2513" t="str">
        <f t="shared" si="79"/>
        <v>Moderate</v>
      </c>
    </row>
    <row r="2514" spans="1:6" ht="15" hidden="1" customHeight="1" x14ac:dyDescent="0.3">
      <c r="A2514" t="s">
        <v>194</v>
      </c>
      <c r="B2514" s="2">
        <v>46143</v>
      </c>
      <c r="C2514" s="5"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9">
        <f t="shared" si="78"/>
        <v>0.63972190668517814</v>
      </c>
      <c r="F2514" t="str">
        <f t="shared" si="79"/>
        <v>Poor</v>
      </c>
    </row>
    <row r="2515" spans="1:6" ht="15" hidden="1" customHeight="1" x14ac:dyDescent="0.3">
      <c r="A2515" t="s">
        <v>194</v>
      </c>
      <c r="B2515" s="2">
        <v>46174</v>
      </c>
      <c r="C2515" cm="1">
        <f t="array" ref="C2515">IFERROR(IF(SUMPRODUCT((measured[Site Name]=A2515)*(measured[Date]=B2515)*ISNUMBER(measured[Measured Value (kWh)]))=0,"",SUMIFS(measured[Measured Value (kWh)],measured[Site Name],A2515,measured[Date],B2515)),"")</f>
        <v>2444</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9">
        <f t="shared" si="78"/>
        <v>0.57411322527601594</v>
      </c>
      <c r="F2515" t="str">
        <f t="shared" si="79"/>
        <v>Poor</v>
      </c>
    </row>
    <row r="2516" spans="1:6" ht="15" hidden="1" customHeight="1" x14ac:dyDescent="0.3">
      <c r="A2516" t="s">
        <v>194</v>
      </c>
      <c r="B2516" s="2">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9" t="str">
        <f t="shared" si="78"/>
        <v/>
      </c>
      <c r="F2516" t="str">
        <f t="shared" si="79"/>
        <v/>
      </c>
    </row>
    <row r="2517" spans="1:6" ht="15" hidden="1" customHeight="1" x14ac:dyDescent="0.3">
      <c r="A2517" t="s">
        <v>194</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9" t="str">
        <f t="shared" si="78"/>
        <v/>
      </c>
      <c r="F2517" t="str">
        <f t="shared" si="79"/>
        <v/>
      </c>
    </row>
    <row r="2518" spans="1:6" ht="15" hidden="1" customHeight="1" x14ac:dyDescent="0.3">
      <c r="A2518" t="s">
        <v>194</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9" t="str">
        <f t="shared" si="78"/>
        <v/>
      </c>
      <c r="F2518" t="str">
        <f t="shared" si="79"/>
        <v/>
      </c>
    </row>
    <row r="2519" spans="1:6" ht="15" hidden="1" customHeight="1" x14ac:dyDescent="0.3">
      <c r="A2519" t="s">
        <v>194</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9" t="str">
        <f t="shared" si="78"/>
        <v/>
      </c>
      <c r="F2519" t="str">
        <f t="shared" si="79"/>
        <v/>
      </c>
    </row>
    <row r="2520" spans="1:6" ht="15" hidden="1" customHeight="1" x14ac:dyDescent="0.3">
      <c r="A2520" t="s">
        <v>194</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9" t="str">
        <f t="shared" si="78"/>
        <v/>
      </c>
      <c r="F2520" t="str">
        <f t="shared" si="79"/>
        <v/>
      </c>
    </row>
    <row r="2521" spans="1:6" ht="15" hidden="1" customHeight="1" x14ac:dyDescent="0.3">
      <c r="A2521" t="s">
        <v>194</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9" t="str">
        <f t="shared" si="78"/>
        <v/>
      </c>
      <c r="F2521" t="str">
        <f t="shared" si="79"/>
        <v/>
      </c>
    </row>
    <row r="2522" spans="1:6" ht="15" hidden="1" customHeight="1" x14ac:dyDescent="0.3">
      <c r="A2522" t="s">
        <v>196</v>
      </c>
      <c r="B2522" s="2">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9">
        <f t="shared" si="78"/>
        <v>0.82122552116234993</v>
      </c>
      <c r="F2522" t="str">
        <f t="shared" si="79"/>
        <v>Moderate</v>
      </c>
    </row>
    <row r="2523" spans="1:6" ht="15" hidden="1" customHeight="1" x14ac:dyDescent="0.3">
      <c r="A2523" t="s">
        <v>196</v>
      </c>
      <c r="B2523" s="2">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9">
        <f t="shared" si="78"/>
        <v>0.92295176612606944</v>
      </c>
      <c r="F2523" t="str">
        <f t="shared" si="79"/>
        <v>Expected</v>
      </c>
    </row>
    <row r="2524" spans="1:6" ht="15" hidden="1" customHeight="1" x14ac:dyDescent="0.3">
      <c r="A2524" t="s">
        <v>196</v>
      </c>
      <c r="B2524" s="2">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9">
        <f t="shared" si="78"/>
        <v>0.87247506254358853</v>
      </c>
      <c r="F2524" t="str">
        <f t="shared" si="79"/>
        <v>Moderate</v>
      </c>
    </row>
    <row r="2525" spans="1:6" ht="15" hidden="1" customHeight="1" x14ac:dyDescent="0.3">
      <c r="A2525" t="s">
        <v>196</v>
      </c>
      <c r="B2525" s="2">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9">
        <f t="shared" si="78"/>
        <v>0.91091986995601448</v>
      </c>
      <c r="F2525" t="str">
        <f t="shared" si="79"/>
        <v>Expected</v>
      </c>
    </row>
    <row r="2526" spans="1:6" ht="15" hidden="1" customHeight="1" x14ac:dyDescent="0.3">
      <c r="A2526" t="s">
        <v>196</v>
      </c>
      <c r="B2526" s="2">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9">
        <f t="shared" si="78"/>
        <v>0.93994778067885121</v>
      </c>
      <c r="F2526" t="str">
        <f t="shared" si="79"/>
        <v>Expected</v>
      </c>
    </row>
    <row r="2527" spans="1:6" ht="15" hidden="1" customHeight="1" x14ac:dyDescent="0.3">
      <c r="A2527" t="s">
        <v>196</v>
      </c>
      <c r="B2527" s="2">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9">
        <f t="shared" si="78"/>
        <v>0.87137630171685898</v>
      </c>
      <c r="F2527" t="str">
        <f t="shared" si="79"/>
        <v>Moderate</v>
      </c>
    </row>
    <row r="2528" spans="1:6" ht="15" hidden="1" customHeight="1" x14ac:dyDescent="0.3">
      <c r="A2528" t="s">
        <v>196</v>
      </c>
      <c r="B2528" s="2">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9">
        <f t="shared" si="78"/>
        <v>1.1223639791310447</v>
      </c>
      <c r="F2528" t="str">
        <f t="shared" si="79"/>
        <v>Expected</v>
      </c>
    </row>
    <row r="2529" spans="1:6" ht="15" hidden="1" customHeight="1" x14ac:dyDescent="0.3">
      <c r="A2529" t="s">
        <v>196</v>
      </c>
      <c r="B2529" s="2">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9">
        <f t="shared" si="78"/>
        <v>0.60779548965091135</v>
      </c>
      <c r="F2529" t="str">
        <f t="shared" si="79"/>
        <v>Poor</v>
      </c>
    </row>
    <row r="2530" spans="1:6" ht="15" hidden="1" customHeight="1" x14ac:dyDescent="0.3">
      <c r="A2530" t="s">
        <v>196</v>
      </c>
      <c r="B2530" s="2">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9">
        <f t="shared" si="78"/>
        <v>0.78371271880399673</v>
      </c>
      <c r="F2530" t="str">
        <f t="shared" si="79"/>
        <v>Moderate</v>
      </c>
    </row>
    <row r="2531" spans="1:6" ht="15" hidden="1" customHeight="1" x14ac:dyDescent="0.3">
      <c r="A2531" t="s">
        <v>196</v>
      </c>
      <c r="B2531" s="2">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9">
        <f t="shared" si="78"/>
        <v>0.84195750485006193</v>
      </c>
      <c r="F2531" t="str">
        <f t="shared" si="79"/>
        <v>Moderate</v>
      </c>
    </row>
    <row r="2532" spans="1:6" ht="15" hidden="1" customHeight="1" x14ac:dyDescent="0.3">
      <c r="A2532" t="s">
        <v>196</v>
      </c>
      <c r="B2532" s="2">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9">
        <f t="shared" si="78"/>
        <v>0.65255282896927203</v>
      </c>
      <c r="F2532" t="str">
        <f t="shared" si="79"/>
        <v>Poor</v>
      </c>
    </row>
    <row r="2533" spans="1:6" ht="15" hidden="1" customHeight="1" x14ac:dyDescent="0.3">
      <c r="A2533" t="s">
        <v>196</v>
      </c>
      <c r="B2533" s="2">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9">
        <f t="shared" si="78"/>
        <v>0.56051811430491361</v>
      </c>
      <c r="F2533" t="str">
        <f t="shared" si="79"/>
        <v>Poor</v>
      </c>
    </row>
    <row r="2534" spans="1:6" ht="15" hidden="1" customHeight="1" x14ac:dyDescent="0.3">
      <c r="A2534" t="s">
        <v>196</v>
      </c>
      <c r="B2534" s="2">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9">
        <f t="shared" si="78"/>
        <v>0.68786411174282303</v>
      </c>
      <c r="F2534" t="str">
        <f t="shared" si="79"/>
        <v>Poor</v>
      </c>
    </row>
    <row r="2535" spans="1:6" ht="15" hidden="1" customHeight="1" x14ac:dyDescent="0.3">
      <c r="A2535" t="s">
        <v>196</v>
      </c>
      <c r="B2535" s="2">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9">
        <f t="shared" si="78"/>
        <v>0.65134099616858243</v>
      </c>
      <c r="F2535" t="str">
        <f t="shared" si="79"/>
        <v>Poor</v>
      </c>
    </row>
    <row r="2536" spans="1:6" ht="15" hidden="1" customHeight="1" x14ac:dyDescent="0.3">
      <c r="A2536" t="s">
        <v>196</v>
      </c>
      <c r="B2536" s="2">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9">
        <f t="shared" si="78"/>
        <v>0.68078136297035652</v>
      </c>
      <c r="F2536" t="str">
        <f t="shared" si="79"/>
        <v>Poor</v>
      </c>
    </row>
    <row r="2537" spans="1:6" ht="15" hidden="1" customHeight="1" x14ac:dyDescent="0.3">
      <c r="A2537" t="s">
        <v>196</v>
      </c>
      <c r="B2537" s="2">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9">
        <f t="shared" si="78"/>
        <v>0.92224134633773192</v>
      </c>
      <c r="F2537" t="str">
        <f t="shared" si="79"/>
        <v>Expected</v>
      </c>
    </row>
    <row r="2538" spans="1:6" ht="15" hidden="1" customHeight="1" x14ac:dyDescent="0.3">
      <c r="A2538" t="s">
        <v>196</v>
      </c>
      <c r="B2538" s="2">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9">
        <f t="shared" si="78"/>
        <v>1.1123056707452346</v>
      </c>
      <c r="F2538" t="str">
        <f t="shared" si="79"/>
        <v>Expected</v>
      </c>
    </row>
    <row r="2539" spans="1:6" ht="15" hidden="1" customHeight="1" x14ac:dyDescent="0.3">
      <c r="A2539" t="s">
        <v>196</v>
      </c>
      <c r="B2539" s="2">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9">
        <f t="shared" si="78"/>
        <v>1.0137536354254622</v>
      </c>
      <c r="F2539" t="str">
        <f t="shared" si="79"/>
        <v>Expected</v>
      </c>
    </row>
    <row r="2540" spans="1:6" ht="15" hidden="1" customHeight="1" x14ac:dyDescent="0.3">
      <c r="A2540" t="s">
        <v>196</v>
      </c>
      <c r="B2540" s="2">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9">
        <f t="shared" si="78"/>
        <v>1.04870884300057</v>
      </c>
      <c r="F2540" t="str">
        <f t="shared" si="79"/>
        <v>Expected</v>
      </c>
    </row>
    <row r="2541" spans="1:6" ht="15" hidden="1" customHeight="1" x14ac:dyDescent="0.3">
      <c r="A2541" t="s">
        <v>196</v>
      </c>
      <c r="B2541" s="2">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9">
        <f t="shared" si="78"/>
        <v>1.0824837812789621</v>
      </c>
      <c r="F2541" t="str">
        <f t="shared" si="79"/>
        <v>Expected</v>
      </c>
    </row>
    <row r="2542" spans="1:6" ht="15" hidden="1" customHeight="1" x14ac:dyDescent="0.3">
      <c r="A2542" t="s">
        <v>196</v>
      </c>
      <c r="B2542" s="2">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9">
        <f t="shared" si="78"/>
        <v>1.0385395537525355</v>
      </c>
      <c r="F2542" t="str">
        <f t="shared" si="79"/>
        <v>Expected</v>
      </c>
    </row>
    <row r="2543" spans="1:6" ht="15" hidden="1" customHeight="1" x14ac:dyDescent="0.3">
      <c r="A2543" t="s">
        <v>196</v>
      </c>
      <c r="B2543" s="2">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9">
        <f t="shared" si="78"/>
        <v>1.0940945116500804</v>
      </c>
      <c r="F2543" t="str">
        <f t="shared" si="79"/>
        <v>Expected</v>
      </c>
    </row>
    <row r="2544" spans="1:6" ht="15" hidden="1" customHeight="1" x14ac:dyDescent="0.3">
      <c r="A2544" t="s">
        <v>196</v>
      </c>
      <c r="B2544" s="2">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9">
        <f t="shared" si="78"/>
        <v>0.99175495975401973</v>
      </c>
      <c r="F2544" t="str">
        <f t="shared" si="79"/>
        <v>Expected</v>
      </c>
    </row>
    <row r="2545" spans="1:6" ht="15" hidden="1" customHeight="1" x14ac:dyDescent="0.3">
      <c r="A2545" t="s">
        <v>196</v>
      </c>
      <c r="B2545" s="2">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9">
        <f t="shared" si="78"/>
        <v>1.0735346934992411</v>
      </c>
      <c r="F2545" t="str">
        <f t="shared" si="79"/>
        <v>Expected</v>
      </c>
    </row>
    <row r="2546" spans="1:6" ht="15" hidden="1" customHeight="1" x14ac:dyDescent="0.3">
      <c r="A2546" t="s">
        <v>196</v>
      </c>
      <c r="B2546" s="2">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9">
        <f t="shared" si="78"/>
        <v>1.2112491518682296</v>
      </c>
      <c r="F2546" t="str">
        <f t="shared" si="79"/>
        <v>Expected</v>
      </c>
    </row>
    <row r="2547" spans="1:6" ht="15" hidden="1" customHeight="1" x14ac:dyDescent="0.3">
      <c r="A2547" t="s">
        <v>196</v>
      </c>
      <c r="B2547" s="2">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9">
        <f t="shared" si="78"/>
        <v>0.81010864430798302</v>
      </c>
      <c r="F2547" t="str">
        <f t="shared" si="79"/>
        <v>Moderate</v>
      </c>
    </row>
    <row r="2548" spans="1:6" ht="15" hidden="1" customHeight="1" x14ac:dyDescent="0.3">
      <c r="A2548" t="s">
        <v>196</v>
      </c>
      <c r="B2548" s="2">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9">
        <f t="shared" si="78"/>
        <v>1.0326890224005221</v>
      </c>
      <c r="F2548" t="str">
        <f t="shared" si="79"/>
        <v>Expected</v>
      </c>
    </row>
    <row r="2549" spans="1:6" ht="15" hidden="1" customHeight="1" x14ac:dyDescent="0.3">
      <c r="A2549" t="s">
        <v>196</v>
      </c>
      <c r="B2549" s="2">
        <v>46113</v>
      </c>
      <c r="C2549" s="5"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9">
        <f t="shared" si="78"/>
        <v>1.0045454197743355</v>
      </c>
      <c r="F2549" t="str">
        <f t="shared" si="79"/>
        <v>Expected</v>
      </c>
    </row>
    <row r="2550" spans="1:6" ht="15" hidden="1" customHeight="1" x14ac:dyDescent="0.3">
      <c r="A2550" t="s">
        <v>196</v>
      </c>
      <c r="B2550" s="2">
        <v>46143</v>
      </c>
      <c r="C2550" s="5"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9">
        <f t="shared" si="78"/>
        <v>1.0950357514633358</v>
      </c>
      <c r="F2550" t="str">
        <f t="shared" si="79"/>
        <v>Expected</v>
      </c>
    </row>
    <row r="2551" spans="1:6" ht="15" hidden="1" customHeight="1" x14ac:dyDescent="0.3">
      <c r="A2551" t="s">
        <v>196</v>
      </c>
      <c r="B2551" s="2">
        <v>46174</v>
      </c>
      <c r="C2551" cm="1">
        <f t="array" ref="C2551">IFERROR(IF(SUMPRODUCT((measured[Site Name]=A2551)*(measured[Date]=B2551)*ISNUMBER(measured[Measured Value (kWh)]))=0,"",SUMIFS(measured[Measured Value (kWh)],measured[Site Name],A2551,measured[Date],B2551)),"")</f>
        <v>3015</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9">
        <f t="shared" si="78"/>
        <v>1.1314382212215031</v>
      </c>
      <c r="F2551" t="str">
        <f t="shared" si="79"/>
        <v>Expected</v>
      </c>
    </row>
    <row r="2552" spans="1:6" ht="15" hidden="1" customHeight="1" x14ac:dyDescent="0.3">
      <c r="A2552" t="s">
        <v>196</v>
      </c>
      <c r="B2552" s="2">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9" t="str">
        <f t="shared" si="78"/>
        <v/>
      </c>
      <c r="F2552" t="str">
        <f t="shared" si="79"/>
        <v/>
      </c>
    </row>
    <row r="2553" spans="1:6" ht="15" hidden="1" customHeight="1" x14ac:dyDescent="0.3">
      <c r="A2553" t="s">
        <v>196</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9" t="str">
        <f t="shared" si="78"/>
        <v/>
      </c>
      <c r="F2553" t="str">
        <f t="shared" si="79"/>
        <v/>
      </c>
    </row>
    <row r="2554" spans="1:6" ht="15" hidden="1" customHeight="1" x14ac:dyDescent="0.3">
      <c r="A2554" t="s">
        <v>196</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9" t="str">
        <f t="shared" si="78"/>
        <v/>
      </c>
      <c r="F2554" t="str">
        <f t="shared" si="79"/>
        <v/>
      </c>
    </row>
    <row r="2555" spans="1:6" ht="15" hidden="1" customHeight="1" x14ac:dyDescent="0.3">
      <c r="A2555" t="s">
        <v>196</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9" t="str">
        <f t="shared" si="78"/>
        <v/>
      </c>
      <c r="F2555" t="str">
        <f t="shared" si="79"/>
        <v/>
      </c>
    </row>
    <row r="2556" spans="1:6" ht="15" hidden="1" customHeight="1" x14ac:dyDescent="0.3">
      <c r="A2556" t="s">
        <v>196</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9" t="str">
        <f t="shared" si="78"/>
        <v/>
      </c>
      <c r="F2556" t="str">
        <f t="shared" si="79"/>
        <v/>
      </c>
    </row>
    <row r="2557" spans="1:6" ht="15" hidden="1" customHeight="1" x14ac:dyDescent="0.3">
      <c r="A2557" t="s">
        <v>196</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9" t="str">
        <f t="shared" si="78"/>
        <v/>
      </c>
      <c r="F2557" t="str">
        <f t="shared" si="79"/>
        <v/>
      </c>
    </row>
    <row r="2558" spans="1:6" ht="15" hidden="1" customHeight="1" x14ac:dyDescent="0.3">
      <c r="A2558" t="s">
        <v>201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9" t="str">
        <f t="shared" si="78"/>
        <v/>
      </c>
      <c r="F2558" t="str">
        <f t="shared" si="79"/>
        <v/>
      </c>
    </row>
    <row r="2559" spans="1:6" ht="15" hidden="1" customHeight="1" x14ac:dyDescent="0.3">
      <c r="A2559" t="s">
        <v>201</v>
      </c>
      <c r="B2559" s="2">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9">
        <f t="shared" si="78"/>
        <v>0.95901120892566438</v>
      </c>
      <c r="F2559" t="str">
        <f t="shared" si="79"/>
        <v>Expected</v>
      </c>
    </row>
    <row r="2560" spans="1:6" ht="15" hidden="1" customHeight="1" x14ac:dyDescent="0.3">
      <c r="A2560" t="s">
        <v>201</v>
      </c>
      <c r="B2560" s="2">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9">
        <f t="shared" si="78"/>
        <v>0.91286203791122733</v>
      </c>
      <c r="F2560" t="str">
        <f t="shared" si="79"/>
        <v>Expected</v>
      </c>
    </row>
    <row r="2561" spans="1:6" ht="15" hidden="1" customHeight="1" x14ac:dyDescent="0.3">
      <c r="A2561" t="s">
        <v>201</v>
      </c>
      <c r="B2561" s="2">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9">
        <f t="shared" si="78"/>
        <v>2.6623260057218327E-2</v>
      </c>
      <c r="F2561" t="str">
        <f t="shared" si="79"/>
        <v>Poor</v>
      </c>
    </row>
    <row r="2562" spans="1:6" ht="15" hidden="1" customHeight="1" x14ac:dyDescent="0.3">
      <c r="A2562" t="s">
        <v>201</v>
      </c>
      <c r="B2562" s="2">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9">
        <f t="shared" ref="E2562:E2625" si="80">IF(OR(C2562="",D2562="",D2562=0),"",C2562/D2562)</f>
        <v>8.4846931892519295E-5</v>
      </c>
      <c r="F2562" t="str">
        <f t="shared" ref="F2562:F2625" si="81">IF(E2562="","",IF(E2562&gt;=0.9,"Expected",IF(E2562&gt;=0.7,"Moderate","Poor")))</f>
        <v>Poor</v>
      </c>
    </row>
    <row r="2563" spans="1:6" ht="15" hidden="1" customHeight="1" x14ac:dyDescent="0.3">
      <c r="A2563" t="s">
        <v>201</v>
      </c>
      <c r="B2563" s="2">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9">
        <f t="shared" si="80"/>
        <v>9.0755343107381273E-5</v>
      </c>
      <c r="F2563" t="str">
        <f t="shared" si="81"/>
        <v>Poor</v>
      </c>
    </row>
    <row r="2564" spans="1:6" ht="15" hidden="1" customHeight="1" x14ac:dyDescent="0.3">
      <c r="A2564" t="s">
        <v>201</v>
      </c>
      <c r="B2564" s="2">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9">
        <f t="shared" si="80"/>
        <v>0.51936624842921852</v>
      </c>
      <c r="F2564" t="str">
        <f t="shared" si="81"/>
        <v>Poor</v>
      </c>
    </row>
    <row r="2565" spans="1:6" ht="15" hidden="1" customHeight="1" x14ac:dyDescent="0.3">
      <c r="A2565" t="s">
        <v>201</v>
      </c>
      <c r="B2565" s="2">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9">
        <f t="shared" si="80"/>
        <v>0.81363922026052893</v>
      </c>
      <c r="F2565" t="str">
        <f t="shared" si="81"/>
        <v>Moderate</v>
      </c>
    </row>
    <row r="2566" spans="1:6" ht="15" hidden="1" customHeight="1" x14ac:dyDescent="0.3">
      <c r="A2566" t="s">
        <v>201</v>
      </c>
      <c r="B2566" s="2">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9">
        <f t="shared" si="80"/>
        <v>0.74791382484769575</v>
      </c>
      <c r="F2566" t="str">
        <f t="shared" si="81"/>
        <v>Moderate</v>
      </c>
    </row>
    <row r="2567" spans="1:6" ht="15" hidden="1" customHeight="1" x14ac:dyDescent="0.3">
      <c r="A2567" t="s">
        <v>201</v>
      </c>
      <c r="B2567" s="2">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9">
        <f t="shared" si="80"/>
        <v>0.92924422786016381</v>
      </c>
      <c r="F2567" t="str">
        <f t="shared" si="81"/>
        <v>Expected</v>
      </c>
    </row>
    <row r="2568" spans="1:6" ht="15" hidden="1" customHeight="1" x14ac:dyDescent="0.3">
      <c r="A2568" t="s">
        <v>201</v>
      </c>
      <c r="B2568" s="2">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9">
        <f t="shared" si="80"/>
        <v>0.9409721528208066</v>
      </c>
      <c r="F2568" t="str">
        <f t="shared" si="81"/>
        <v>Expected</v>
      </c>
    </row>
    <row r="2569" spans="1:6" ht="15" hidden="1" customHeight="1" x14ac:dyDescent="0.3">
      <c r="A2569" t="s">
        <v>201</v>
      </c>
      <c r="B2569" s="2">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9">
        <f t="shared" si="80"/>
        <v>0.84934340977306932</v>
      </c>
      <c r="F2569" t="str">
        <f t="shared" si="81"/>
        <v>Moderate</v>
      </c>
    </row>
    <row r="2570" spans="1:6" ht="15" hidden="1" customHeight="1" x14ac:dyDescent="0.3">
      <c r="A2570" t="s">
        <v>201</v>
      </c>
      <c r="B2570" s="2">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9">
        <f t="shared" si="80"/>
        <v>0.80627972728730168</v>
      </c>
      <c r="F2570" t="str">
        <f t="shared" si="81"/>
        <v>Moderate</v>
      </c>
    </row>
    <row r="2571" spans="1:6" ht="15" hidden="1" customHeight="1" x14ac:dyDescent="0.3">
      <c r="A2571" t="s">
        <v>201</v>
      </c>
      <c r="B2571" s="2">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9">
        <f t="shared" si="80"/>
        <v>0.73835816716956482</v>
      </c>
      <c r="F2571" t="str">
        <f t="shared" si="81"/>
        <v>Moderate</v>
      </c>
    </row>
    <row r="2572" spans="1:6" ht="15" hidden="1" customHeight="1" x14ac:dyDescent="0.3">
      <c r="A2572" t="s">
        <v>201</v>
      </c>
      <c r="B2572" s="2">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9">
        <f t="shared" si="80"/>
        <v>0.7308806808902466</v>
      </c>
      <c r="F2572" t="str">
        <f t="shared" si="81"/>
        <v>Moderate</v>
      </c>
    </row>
    <row r="2573" spans="1:6" ht="15" hidden="1" customHeight="1" x14ac:dyDescent="0.3">
      <c r="A2573" t="s">
        <v>201</v>
      </c>
      <c r="B2573" s="2">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9">
        <f t="shared" si="80"/>
        <v>0.71067627416581169</v>
      </c>
      <c r="F2573" t="str">
        <f t="shared" si="81"/>
        <v>Moderate</v>
      </c>
    </row>
    <row r="2574" spans="1:6" ht="15" hidden="1" customHeight="1" x14ac:dyDescent="0.3">
      <c r="A2574" t="s">
        <v>201</v>
      </c>
      <c r="B2574" s="2">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9">
        <f t="shared" si="80"/>
        <v>0.51086337692485873</v>
      </c>
      <c r="F2574" t="str">
        <f t="shared" si="81"/>
        <v>Poor</v>
      </c>
    </row>
    <row r="2575" spans="1:6" ht="15" hidden="1" customHeight="1" x14ac:dyDescent="0.3">
      <c r="A2575" t="s">
        <v>201</v>
      </c>
      <c r="B2575" s="2">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9">
        <f t="shared" si="80"/>
        <v>0.39401976742128225</v>
      </c>
      <c r="F2575" t="str">
        <f t="shared" si="81"/>
        <v>Poor</v>
      </c>
    </row>
    <row r="2576" spans="1:6" ht="15" hidden="1" customHeight="1" x14ac:dyDescent="0.3">
      <c r="A2576" t="s">
        <v>201</v>
      </c>
      <c r="B2576" s="2">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9">
        <f t="shared" si="80"/>
        <v>0.5812411065287123</v>
      </c>
      <c r="F2576" t="str">
        <f t="shared" si="81"/>
        <v>Poor</v>
      </c>
    </row>
    <row r="2577" spans="1:6" ht="15" hidden="1" customHeight="1" x14ac:dyDescent="0.3">
      <c r="A2577" t="s">
        <v>201</v>
      </c>
      <c r="B2577" s="2">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9">
        <f t="shared" si="80"/>
        <v>0.84485473663416055</v>
      </c>
      <c r="F2577" t="str">
        <f t="shared" si="81"/>
        <v>Moderate</v>
      </c>
    </row>
    <row r="2578" spans="1:6" ht="15" hidden="1" customHeight="1" x14ac:dyDescent="0.3">
      <c r="A2578" t="s">
        <v>201</v>
      </c>
      <c r="B2578" s="2">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9">
        <f t="shared" si="80"/>
        <v>0.74030692014153276</v>
      </c>
      <c r="F2578" t="str">
        <f t="shared" si="81"/>
        <v>Moderate</v>
      </c>
    </row>
    <row r="2579" spans="1:6" ht="15" hidden="1" customHeight="1" x14ac:dyDescent="0.3">
      <c r="A2579" t="s">
        <v>201</v>
      </c>
      <c r="B2579" s="2">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9">
        <f t="shared" si="80"/>
        <v>0.94734079242127367</v>
      </c>
      <c r="F2579" t="str">
        <f t="shared" si="81"/>
        <v>Expected</v>
      </c>
    </row>
    <row r="2580" spans="1:6" ht="15" hidden="1" customHeight="1" x14ac:dyDescent="0.3">
      <c r="A2580" t="s">
        <v>201</v>
      </c>
      <c r="B2580" s="2">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9">
        <f t="shared" si="80"/>
        <v>0.76722802232985909</v>
      </c>
      <c r="F2580" t="str">
        <f t="shared" si="81"/>
        <v>Moderate</v>
      </c>
    </row>
    <row r="2581" spans="1:6" ht="15" hidden="1" customHeight="1" x14ac:dyDescent="0.3">
      <c r="A2581" t="s">
        <v>201</v>
      </c>
      <c r="B2581" s="2">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9">
        <f t="shared" si="80"/>
        <v>0.7518340092135144</v>
      </c>
      <c r="F2581" t="str">
        <f t="shared" si="81"/>
        <v>Moderate</v>
      </c>
    </row>
    <row r="2582" spans="1:6" ht="15" hidden="1" customHeight="1" x14ac:dyDescent="0.3">
      <c r="A2582" t="s">
        <v>201</v>
      </c>
      <c r="B2582" s="2">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9">
        <f t="shared" si="80"/>
        <v>0.94554487302284596</v>
      </c>
      <c r="F2582" t="str">
        <f t="shared" si="81"/>
        <v>Expected</v>
      </c>
    </row>
    <row r="2583" spans="1:6" ht="15" hidden="1" customHeight="1" x14ac:dyDescent="0.3">
      <c r="A2583" t="s">
        <v>201</v>
      </c>
      <c r="B2583" s="2">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9">
        <f t="shared" si="80"/>
        <v>1.0170777988614801</v>
      </c>
      <c r="F2583" t="str">
        <f t="shared" si="81"/>
        <v>Expected</v>
      </c>
    </row>
    <row r="2584" spans="1:6" ht="15" hidden="1" customHeight="1" x14ac:dyDescent="0.3">
      <c r="A2584" t="s">
        <v>201</v>
      </c>
      <c r="B2584" s="2">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9">
        <f t="shared" si="80"/>
        <v>0.85927863834393858</v>
      </c>
      <c r="F2584" t="str">
        <f t="shared" si="81"/>
        <v>Moderate</v>
      </c>
    </row>
    <row r="2585" spans="1:6" ht="15" hidden="1" customHeight="1" x14ac:dyDescent="0.3">
      <c r="A2585" t="s">
        <v>201</v>
      </c>
      <c r="B2585" s="2">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9">
        <f t="shared" si="80"/>
        <v>0.81206926903975019</v>
      </c>
      <c r="F2585" t="str">
        <f t="shared" si="81"/>
        <v>Moderate</v>
      </c>
    </row>
    <row r="2586" spans="1:6" ht="15" hidden="1" customHeight="1" x14ac:dyDescent="0.3">
      <c r="A2586" t="s">
        <v>201</v>
      </c>
      <c r="B2586" s="2">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9">
        <f t="shared" si="80"/>
        <v>0.85969796189184899</v>
      </c>
      <c r="F2586" t="str">
        <f t="shared" si="81"/>
        <v>Moderate</v>
      </c>
    </row>
    <row r="2587" spans="1:6" ht="15" hidden="1" customHeight="1" x14ac:dyDescent="0.3">
      <c r="A2587" t="s">
        <v>201</v>
      </c>
      <c r="B2587" s="2">
        <v>46174</v>
      </c>
      <c r="C2587" cm="1">
        <f t="array" ref="C2587">IFERROR(IF(SUMPRODUCT((measured[Site Name]=A2587)*(measured[Date]=B2587)*ISNUMBER(measured[Measured Value (kWh)]))=0,"",SUMIFS(measured[Measured Value (kWh)],measured[Site Name],A2587,measured[Date],B2587)),"")</f>
        <v>8126</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9">
        <f t="shared" si="80"/>
        <v>0.73747791809058016</v>
      </c>
      <c r="F2587" t="str">
        <f t="shared" si="81"/>
        <v>Moderate</v>
      </c>
    </row>
    <row r="2588" spans="1:6" ht="15" hidden="1" customHeight="1" x14ac:dyDescent="0.3">
      <c r="A2588" t="s">
        <v>201</v>
      </c>
      <c r="B2588" s="2">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9" t="str">
        <f t="shared" si="80"/>
        <v/>
      </c>
      <c r="F2588" t="str">
        <f t="shared" si="81"/>
        <v/>
      </c>
    </row>
    <row r="2589" spans="1:6" ht="15" hidden="1" customHeight="1" x14ac:dyDescent="0.3">
      <c r="A2589" t="s">
        <v>201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9" t="str">
        <f t="shared" si="80"/>
        <v/>
      </c>
      <c r="F2589" t="str">
        <f t="shared" si="81"/>
        <v/>
      </c>
    </row>
    <row r="2590" spans="1:6" ht="15" hidden="1" customHeight="1" x14ac:dyDescent="0.3">
      <c r="A2590" t="s">
        <v>201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9" t="str">
        <f t="shared" si="80"/>
        <v/>
      </c>
      <c r="F2590" t="str">
        <f t="shared" si="81"/>
        <v/>
      </c>
    </row>
    <row r="2591" spans="1:6" ht="15" hidden="1" customHeight="1" x14ac:dyDescent="0.3">
      <c r="A2591" t="s">
        <v>201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9" t="str">
        <f t="shared" si="80"/>
        <v/>
      </c>
      <c r="F2591" t="str">
        <f t="shared" si="81"/>
        <v/>
      </c>
    </row>
    <row r="2592" spans="1:6" ht="15" hidden="1" customHeight="1" x14ac:dyDescent="0.3">
      <c r="A2592" t="s">
        <v>201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9" t="str">
        <f t="shared" si="80"/>
        <v/>
      </c>
      <c r="F2592" t="str">
        <f t="shared" si="81"/>
        <v/>
      </c>
    </row>
    <row r="2593" spans="1:6" ht="15" hidden="1" customHeight="1" x14ac:dyDescent="0.3">
      <c r="A2593" t="s">
        <v>201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9" t="str">
        <f t="shared" si="80"/>
        <v/>
      </c>
      <c r="F2593" t="str">
        <f t="shared" si="81"/>
        <v/>
      </c>
    </row>
    <row r="2594" spans="1:6" ht="15" hidden="1" customHeight="1" x14ac:dyDescent="0.3">
      <c r="A2594" t="s">
        <v>211</v>
      </c>
      <c r="B2594" s="2">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9" t="str">
        <f t="shared" si="80"/>
        <v/>
      </c>
      <c r="F2594" t="str">
        <f t="shared" si="81"/>
        <v/>
      </c>
    </row>
    <row r="2595" spans="1:6" ht="15" hidden="1" customHeight="1" x14ac:dyDescent="0.3">
      <c r="A2595" t="s">
        <v>211</v>
      </c>
      <c r="B2595" s="2">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9" t="str">
        <f t="shared" si="80"/>
        <v/>
      </c>
      <c r="F2595" t="str">
        <f t="shared" si="81"/>
        <v/>
      </c>
    </row>
    <row r="2596" spans="1:6" ht="15" hidden="1" customHeight="1" x14ac:dyDescent="0.3">
      <c r="A2596" t="s">
        <v>211</v>
      </c>
      <c r="B2596" s="2">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9" t="str">
        <f t="shared" si="80"/>
        <v/>
      </c>
      <c r="F2596" t="str">
        <f t="shared" si="81"/>
        <v/>
      </c>
    </row>
    <row r="2597" spans="1:6" ht="15" hidden="1" customHeight="1" x14ac:dyDescent="0.3">
      <c r="A2597" t="s">
        <v>211</v>
      </c>
      <c r="B2597" s="2">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9" t="str">
        <f t="shared" si="80"/>
        <v/>
      </c>
      <c r="F2597" t="str">
        <f t="shared" si="81"/>
        <v/>
      </c>
    </row>
    <row r="2598" spans="1:6" ht="15" hidden="1" customHeight="1" x14ac:dyDescent="0.3">
      <c r="A2598" t="s">
        <v>211</v>
      </c>
      <c r="B2598" s="2">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9" t="str">
        <f t="shared" si="80"/>
        <v/>
      </c>
      <c r="F2598" t="str">
        <f t="shared" si="81"/>
        <v/>
      </c>
    </row>
    <row r="2599" spans="1:6" ht="15" hidden="1" customHeight="1" x14ac:dyDescent="0.3">
      <c r="A2599" t="s">
        <v>211</v>
      </c>
      <c r="B2599" s="2">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9" t="str">
        <f t="shared" si="80"/>
        <v/>
      </c>
      <c r="F2599" t="str">
        <f t="shared" si="81"/>
        <v/>
      </c>
    </row>
    <row r="2600" spans="1:6" ht="15" hidden="1" customHeight="1" x14ac:dyDescent="0.3">
      <c r="A2600" t="s">
        <v>211</v>
      </c>
      <c r="B2600" s="2">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9" t="str">
        <f t="shared" si="80"/>
        <v/>
      </c>
      <c r="F2600" t="str">
        <f t="shared" si="81"/>
        <v/>
      </c>
    </row>
    <row r="2601" spans="1:6" ht="15" hidden="1" customHeight="1" x14ac:dyDescent="0.3">
      <c r="A2601" t="s">
        <v>211</v>
      </c>
      <c r="B2601" s="2">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9" t="str">
        <f t="shared" si="80"/>
        <v/>
      </c>
      <c r="F2601" t="str">
        <f t="shared" si="81"/>
        <v/>
      </c>
    </row>
    <row r="2602" spans="1:6" ht="15" hidden="1" customHeight="1" x14ac:dyDescent="0.3">
      <c r="A2602" t="s">
        <v>211</v>
      </c>
      <c r="B2602" s="2">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9" t="str">
        <f t="shared" si="80"/>
        <v/>
      </c>
      <c r="F2602" t="str">
        <f t="shared" si="81"/>
        <v/>
      </c>
    </row>
    <row r="2603" spans="1:6" ht="15" hidden="1" customHeight="1" x14ac:dyDescent="0.3">
      <c r="A2603" t="s">
        <v>211</v>
      </c>
      <c r="B2603" s="2">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9" t="str">
        <f t="shared" si="80"/>
        <v/>
      </c>
      <c r="F2603" t="str">
        <f t="shared" si="81"/>
        <v/>
      </c>
    </row>
    <row r="2604" spans="1:6" ht="15" hidden="1" customHeight="1" x14ac:dyDescent="0.3">
      <c r="A2604" t="s">
        <v>211</v>
      </c>
      <c r="B2604" s="2">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9" t="str">
        <f t="shared" si="80"/>
        <v/>
      </c>
      <c r="F2604" t="str">
        <f t="shared" si="81"/>
        <v/>
      </c>
    </row>
    <row r="2605" spans="1:6" ht="15" hidden="1" customHeight="1" x14ac:dyDescent="0.3">
      <c r="A2605" t="s">
        <v>211</v>
      </c>
      <c r="B2605" s="2">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9" t="str">
        <f t="shared" si="80"/>
        <v/>
      </c>
      <c r="F2605" t="str">
        <f t="shared" si="81"/>
        <v/>
      </c>
    </row>
    <row r="2606" spans="1:6" ht="15" hidden="1" customHeight="1" x14ac:dyDescent="0.3">
      <c r="A2606" t="s">
        <v>211</v>
      </c>
      <c r="B2606" s="2">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9" t="str">
        <f t="shared" si="80"/>
        <v/>
      </c>
      <c r="F2606" t="str">
        <f t="shared" si="81"/>
        <v/>
      </c>
    </row>
    <row r="2607" spans="1:6" ht="15" hidden="1" customHeight="1" x14ac:dyDescent="0.3">
      <c r="A2607" t="s">
        <v>211</v>
      </c>
      <c r="B2607" s="2">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9" t="str">
        <f t="shared" si="80"/>
        <v/>
      </c>
      <c r="F2607" t="str">
        <f t="shared" si="81"/>
        <v/>
      </c>
    </row>
    <row r="2608" spans="1:6" ht="15" hidden="1" customHeight="1" x14ac:dyDescent="0.3">
      <c r="A2608" t="s">
        <v>211</v>
      </c>
      <c r="B2608" s="2">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9" t="str">
        <f t="shared" si="80"/>
        <v/>
      </c>
      <c r="F2608" t="str">
        <f t="shared" si="81"/>
        <v/>
      </c>
    </row>
    <row r="2609" spans="1:6" ht="15" hidden="1" customHeight="1" x14ac:dyDescent="0.3">
      <c r="A2609" t="s">
        <v>211</v>
      </c>
      <c r="B2609" s="2">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9" t="str">
        <f t="shared" si="80"/>
        <v/>
      </c>
      <c r="F2609" t="str">
        <f t="shared" si="81"/>
        <v/>
      </c>
    </row>
    <row r="2610" spans="1:6" ht="15" hidden="1" customHeight="1" x14ac:dyDescent="0.3">
      <c r="A2610" t="s">
        <v>211</v>
      </c>
      <c r="B2610" s="2">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9" t="str">
        <f t="shared" si="80"/>
        <v/>
      </c>
      <c r="F2610" t="str">
        <f t="shared" si="81"/>
        <v/>
      </c>
    </row>
    <row r="2611" spans="1:6" ht="15" hidden="1" customHeight="1" x14ac:dyDescent="0.3">
      <c r="A2611" t="s">
        <v>211</v>
      </c>
      <c r="B2611" s="2">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9" t="str">
        <f t="shared" si="80"/>
        <v/>
      </c>
      <c r="F2611" t="str">
        <f t="shared" si="81"/>
        <v/>
      </c>
    </row>
    <row r="2612" spans="1:6" ht="15" hidden="1" customHeight="1" x14ac:dyDescent="0.3">
      <c r="A2612" t="s">
        <v>211</v>
      </c>
      <c r="B2612" s="2">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9" t="str">
        <f t="shared" si="80"/>
        <v/>
      </c>
      <c r="F2612" t="str">
        <f t="shared" si="81"/>
        <v/>
      </c>
    </row>
    <row r="2613" spans="1:6" ht="15" hidden="1" customHeight="1" x14ac:dyDescent="0.3">
      <c r="A2613" t="s">
        <v>211</v>
      </c>
      <c r="B2613" s="2">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9">
        <f t="shared" si="80"/>
        <v>0.8185128726287263</v>
      </c>
      <c r="F2613" t="str">
        <f t="shared" si="81"/>
        <v>Moderate</v>
      </c>
    </row>
    <row r="2614" spans="1:6" ht="15" hidden="1" customHeight="1" x14ac:dyDescent="0.3">
      <c r="A2614" t="s">
        <v>211</v>
      </c>
      <c r="B2614" s="2">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9">
        <f t="shared" si="80"/>
        <v>0.80910216128725121</v>
      </c>
      <c r="F2614" t="str">
        <f t="shared" si="81"/>
        <v>Moderate</v>
      </c>
    </row>
    <row r="2615" spans="1:6" ht="15" hidden="1" customHeight="1" x14ac:dyDescent="0.3">
      <c r="A2615" t="s">
        <v>211</v>
      </c>
      <c r="B2615" s="2">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9">
        <f t="shared" si="80"/>
        <v>0.8144963712846115</v>
      </c>
      <c r="F2615" t="str">
        <f t="shared" si="81"/>
        <v>Moderate</v>
      </c>
    </row>
    <row r="2616" spans="1:6" ht="15" hidden="1" customHeight="1" x14ac:dyDescent="0.3">
      <c r="A2616" t="s">
        <v>211</v>
      </c>
      <c r="B2616" s="2">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9">
        <f t="shared" si="80"/>
        <v>0.73394091489455382</v>
      </c>
      <c r="F2616" t="str">
        <f t="shared" si="81"/>
        <v>Moderate</v>
      </c>
    </row>
    <row r="2617" spans="1:6" ht="15" hidden="1" customHeight="1" x14ac:dyDescent="0.3">
      <c r="A2617" t="s">
        <v>211</v>
      </c>
      <c r="B2617" s="2">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9">
        <f t="shared" si="80"/>
        <v>0.91923303592231675</v>
      </c>
      <c r="F2617" t="str">
        <f t="shared" si="81"/>
        <v>Expected</v>
      </c>
    </row>
    <row r="2618" spans="1:6" ht="15" hidden="1" customHeight="1" x14ac:dyDescent="0.3">
      <c r="A2618" t="s">
        <v>211</v>
      </c>
      <c r="B2618" s="2">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9">
        <f t="shared" si="80"/>
        <v>0.98241071795504054</v>
      </c>
      <c r="F2618" t="str">
        <f t="shared" si="81"/>
        <v>Expected</v>
      </c>
    </row>
    <row r="2619" spans="1:6" ht="15" hidden="1" customHeight="1" x14ac:dyDescent="0.3">
      <c r="A2619" t="s">
        <v>211</v>
      </c>
      <c r="B2619" s="2">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9">
        <f t="shared" si="80"/>
        <v>0.77834016228810154</v>
      </c>
      <c r="F2619" t="str">
        <f t="shared" si="81"/>
        <v>Moderate</v>
      </c>
    </row>
    <row r="2620" spans="1:6" ht="15" hidden="1" customHeight="1" x14ac:dyDescent="0.3">
      <c r="A2620" t="s">
        <v>211</v>
      </c>
      <c r="B2620" s="2">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9">
        <f t="shared" si="80"/>
        <v>0.89437749012217105</v>
      </c>
      <c r="F2620" t="str">
        <f t="shared" si="81"/>
        <v>Moderate</v>
      </c>
    </row>
    <row r="2621" spans="1:6" ht="15" hidden="1" customHeight="1" x14ac:dyDescent="0.3">
      <c r="A2621" t="s">
        <v>211</v>
      </c>
      <c r="B2621" s="2">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9">
        <f t="shared" si="80"/>
        <v>0.54873414020931999</v>
      </c>
      <c r="F2621" t="str">
        <f t="shared" si="81"/>
        <v>Poor</v>
      </c>
    </row>
    <row r="2622" spans="1:6" ht="15" hidden="1" customHeight="1" x14ac:dyDescent="0.3">
      <c r="A2622" t="s">
        <v>211</v>
      </c>
      <c r="B2622" s="2">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9">
        <f t="shared" si="80"/>
        <v>0.47722600887157851</v>
      </c>
      <c r="F2622" t="str">
        <f t="shared" si="81"/>
        <v>Poor</v>
      </c>
    </row>
    <row r="2623" spans="1:6" ht="15" hidden="1" customHeight="1" x14ac:dyDescent="0.3">
      <c r="A2623" t="s">
        <v>211</v>
      </c>
      <c r="B2623" s="2">
        <v>46174</v>
      </c>
      <c r="C2623" cm="1">
        <f t="array" ref="C2623">IFERROR(IF(SUMPRODUCT((measured[Site Name]=A2623)*(measured[Date]=B2623)*ISNUMBER(measured[Measured Value (kWh)]))=0,"",SUMIFS(measured[Measured Value (kWh)],measured[Site Name],A2623,measured[Date],B2623)),"")</f>
        <v>1921.8</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9">
        <f t="shared" si="80"/>
        <v>0.48885836385836384</v>
      </c>
      <c r="F2623" t="str">
        <f t="shared" si="81"/>
        <v>Poor</v>
      </c>
    </row>
    <row r="2624" spans="1:6" ht="15" hidden="1" customHeight="1" x14ac:dyDescent="0.3">
      <c r="A2624" t="s">
        <v>211</v>
      </c>
      <c r="B2624" s="2">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9" t="str">
        <f t="shared" si="80"/>
        <v/>
      </c>
      <c r="F2624" t="str">
        <f t="shared" si="81"/>
        <v/>
      </c>
    </row>
    <row r="2625" spans="1:6" ht="15" hidden="1" customHeight="1" x14ac:dyDescent="0.3">
      <c r="A2625" t="s">
        <v>211</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9" t="str">
        <f t="shared" si="80"/>
        <v/>
      </c>
      <c r="F2625" t="str">
        <f t="shared" si="81"/>
        <v/>
      </c>
    </row>
    <row r="2626" spans="1:6" ht="15" hidden="1" customHeight="1" x14ac:dyDescent="0.3">
      <c r="A2626" t="s">
        <v>211</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9" t="str">
        <f t="shared" ref="E2626:E2689" si="82">IF(OR(C2626="",D2626="",D2626=0),"",C2626/D2626)</f>
        <v/>
      </c>
      <c r="F2626" t="str">
        <f t="shared" ref="F2626:F2689" si="83">IF(E2626="","",IF(E2626&gt;=0.9,"Expected",IF(E2626&gt;=0.7,"Moderate","Poor")))</f>
        <v/>
      </c>
    </row>
    <row r="2627" spans="1:6" ht="15" hidden="1" customHeight="1" x14ac:dyDescent="0.3">
      <c r="A2627" t="s">
        <v>211</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9" t="str">
        <f t="shared" si="82"/>
        <v/>
      </c>
      <c r="F2627" t="str">
        <f t="shared" si="83"/>
        <v/>
      </c>
    </row>
    <row r="2628" spans="1:6" ht="15" hidden="1" customHeight="1" x14ac:dyDescent="0.3">
      <c r="A2628" t="s">
        <v>211</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9" t="str">
        <f t="shared" si="82"/>
        <v/>
      </c>
      <c r="F2628" t="str">
        <f t="shared" si="83"/>
        <v/>
      </c>
    </row>
    <row r="2629" spans="1:6" ht="15" hidden="1" customHeight="1" x14ac:dyDescent="0.3">
      <c r="A2629" t="s">
        <v>211</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9" t="str">
        <f t="shared" si="82"/>
        <v/>
      </c>
      <c r="F2629" t="str">
        <f t="shared" si="83"/>
        <v/>
      </c>
    </row>
    <row r="2630" spans="1:6" ht="15" hidden="1" customHeight="1" x14ac:dyDescent="0.3">
      <c r="A2630" t="s">
        <v>202</v>
      </c>
      <c r="B2630" s="2">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9">
        <f t="shared" si="82"/>
        <v>0.63836619356496049</v>
      </c>
      <c r="F2630" t="str">
        <f t="shared" si="83"/>
        <v>Poor</v>
      </c>
    </row>
    <row r="2631" spans="1:6" ht="15" hidden="1" customHeight="1" x14ac:dyDescent="0.3">
      <c r="A2631" t="s">
        <v>202</v>
      </c>
      <c r="B2631" s="2">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9">
        <f t="shared" si="82"/>
        <v>0.66778180232753126</v>
      </c>
      <c r="F2631" t="str">
        <f t="shared" si="83"/>
        <v>Poor</v>
      </c>
    </row>
    <row r="2632" spans="1:6" ht="15" hidden="1" customHeight="1" x14ac:dyDescent="0.3">
      <c r="A2632" t="s">
        <v>202</v>
      </c>
      <c r="B2632" s="2">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9">
        <f t="shared" si="82"/>
        <v>0.76722042055474793</v>
      </c>
      <c r="F2632" t="str">
        <f t="shared" si="83"/>
        <v>Moderate</v>
      </c>
    </row>
    <row r="2633" spans="1:6" ht="15" hidden="1" customHeight="1" x14ac:dyDescent="0.3">
      <c r="A2633" t="s">
        <v>202</v>
      </c>
      <c r="B2633" s="2">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9">
        <f t="shared" si="82"/>
        <v>0.65239734570673058</v>
      </c>
      <c r="F2633" t="str">
        <f t="shared" si="83"/>
        <v>Poor</v>
      </c>
    </row>
    <row r="2634" spans="1:6" ht="15" hidden="1" customHeight="1" x14ac:dyDescent="0.3">
      <c r="A2634" t="s">
        <v>202</v>
      </c>
      <c r="B2634" s="2">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9">
        <f t="shared" si="82"/>
        <v>0.92737165838656255</v>
      </c>
      <c r="F2634" t="str">
        <f t="shared" si="83"/>
        <v>Expected</v>
      </c>
    </row>
    <row r="2635" spans="1:6" ht="15" hidden="1" customHeight="1" x14ac:dyDescent="0.3">
      <c r="A2635" t="s">
        <v>202</v>
      </c>
      <c r="B2635" s="2">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9">
        <f t="shared" si="82"/>
        <v>0.8585618707524878</v>
      </c>
      <c r="F2635" t="str">
        <f t="shared" si="83"/>
        <v>Moderate</v>
      </c>
    </row>
    <row r="2636" spans="1:6" ht="15" hidden="1" customHeight="1" x14ac:dyDescent="0.3">
      <c r="A2636" t="s">
        <v>202</v>
      </c>
      <c r="B2636" s="2">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9">
        <f t="shared" si="82"/>
        <v>0.79375661375661377</v>
      </c>
      <c r="F2636" t="str">
        <f t="shared" si="83"/>
        <v>Moderate</v>
      </c>
    </row>
    <row r="2637" spans="1:6" ht="15" hidden="1" customHeight="1" x14ac:dyDescent="0.3">
      <c r="A2637" t="s">
        <v>202</v>
      </c>
      <c r="B2637" s="2">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9">
        <f t="shared" si="82"/>
        <v>0.94225557640191782</v>
      </c>
      <c r="F2637" t="str">
        <f t="shared" si="83"/>
        <v>Expected</v>
      </c>
    </row>
    <row r="2638" spans="1:6" ht="15" hidden="1" customHeight="1" x14ac:dyDescent="0.3">
      <c r="A2638" t="s">
        <v>202</v>
      </c>
      <c r="B2638" s="2">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9">
        <f t="shared" si="82"/>
        <v>0.85204755614266847</v>
      </c>
      <c r="F2638" t="str">
        <f t="shared" si="83"/>
        <v>Moderate</v>
      </c>
    </row>
    <row r="2639" spans="1:6" ht="15" hidden="1" customHeight="1" x14ac:dyDescent="0.3">
      <c r="A2639" t="s">
        <v>202</v>
      </c>
      <c r="B2639" s="2">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9">
        <f t="shared" si="82"/>
        <v>1.1125786509639903</v>
      </c>
      <c r="F2639" t="str">
        <f t="shared" si="83"/>
        <v>Expected</v>
      </c>
    </row>
    <row r="2640" spans="1:6" ht="15" hidden="1" customHeight="1" x14ac:dyDescent="0.3">
      <c r="A2640" t="s">
        <v>202</v>
      </c>
      <c r="B2640" s="2">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9">
        <f t="shared" si="82"/>
        <v>1.0354453749735855</v>
      </c>
      <c r="F2640" t="str">
        <f t="shared" si="83"/>
        <v>Expected</v>
      </c>
    </row>
    <row r="2641" spans="1:6" ht="15" hidden="1" customHeight="1" x14ac:dyDescent="0.3">
      <c r="A2641" t="s">
        <v>202</v>
      </c>
      <c r="B2641" s="2">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9">
        <f t="shared" si="82"/>
        <v>0.6081244014523608</v>
      </c>
      <c r="F2641" t="str">
        <f t="shared" si="83"/>
        <v>Poor</v>
      </c>
    </row>
    <row r="2642" spans="1:6" ht="15" hidden="1" customHeight="1" x14ac:dyDescent="0.3">
      <c r="A2642" t="s">
        <v>202</v>
      </c>
      <c r="B2642" s="2">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9">
        <f t="shared" si="82"/>
        <v>0.85475848978514191</v>
      </c>
      <c r="F2642" t="str">
        <f t="shared" si="83"/>
        <v>Moderate</v>
      </c>
    </row>
    <row r="2643" spans="1:6" ht="15" hidden="1" customHeight="1" x14ac:dyDescent="0.3">
      <c r="A2643" t="s">
        <v>202</v>
      </c>
      <c r="B2643" s="2">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9">
        <f t="shared" si="82"/>
        <v>0.8341717811986451</v>
      </c>
      <c r="F2643" t="str">
        <f t="shared" si="83"/>
        <v>Moderate</v>
      </c>
    </row>
    <row r="2644" spans="1:6" ht="15" hidden="1" customHeight="1" x14ac:dyDescent="0.3">
      <c r="A2644" t="s">
        <v>202</v>
      </c>
      <c r="B2644" s="2">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9">
        <f t="shared" si="82"/>
        <v>0.76349283267686374</v>
      </c>
      <c r="F2644" t="str">
        <f t="shared" si="83"/>
        <v>Moderate</v>
      </c>
    </row>
    <row r="2645" spans="1:6" ht="15" hidden="1" customHeight="1" x14ac:dyDescent="0.3">
      <c r="A2645" t="s">
        <v>202</v>
      </c>
      <c r="B2645" s="2">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9">
        <f t="shared" si="82"/>
        <v>0.83405677792745592</v>
      </c>
      <c r="F2645" t="str">
        <f t="shared" si="83"/>
        <v>Moderate</v>
      </c>
    </row>
    <row r="2646" spans="1:6" ht="15" hidden="1" customHeight="1" x14ac:dyDescent="0.3">
      <c r="A2646" t="s">
        <v>202</v>
      </c>
      <c r="B2646" s="2">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9">
        <f t="shared" si="82"/>
        <v>1.0261020424256762</v>
      </c>
      <c r="F2646" t="str">
        <f t="shared" si="83"/>
        <v>Expected</v>
      </c>
    </row>
    <row r="2647" spans="1:6" ht="15" hidden="1" customHeight="1" x14ac:dyDescent="0.3">
      <c r="A2647" t="s">
        <v>202</v>
      </c>
      <c r="B2647" s="2">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9">
        <f t="shared" si="82"/>
        <v>0.97946534850856992</v>
      </c>
      <c r="F2647" t="str">
        <f t="shared" si="83"/>
        <v>Expected</v>
      </c>
    </row>
    <row r="2648" spans="1:6" ht="15" hidden="1" customHeight="1" x14ac:dyDescent="0.3">
      <c r="A2648" t="s">
        <v>202</v>
      </c>
      <c r="B2648" s="2">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9">
        <f t="shared" si="82"/>
        <v>0.92287936507936497</v>
      </c>
      <c r="F2648" t="str">
        <f t="shared" si="83"/>
        <v>Expected</v>
      </c>
    </row>
    <row r="2649" spans="1:6" ht="15" hidden="1" customHeight="1" x14ac:dyDescent="0.3">
      <c r="A2649" t="s">
        <v>202</v>
      </c>
      <c r="B2649" s="2">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9">
        <f t="shared" si="82"/>
        <v>0.97067007459372245</v>
      </c>
      <c r="F2649" t="str">
        <f t="shared" si="83"/>
        <v>Expected</v>
      </c>
    </row>
    <row r="2650" spans="1:6" ht="15" hidden="1" customHeight="1" x14ac:dyDescent="0.3">
      <c r="A2650" t="s">
        <v>202</v>
      </c>
      <c r="B2650" s="2">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9">
        <f t="shared" si="82"/>
        <v>0.79451864898804581</v>
      </c>
      <c r="F2650" t="str">
        <f t="shared" si="83"/>
        <v>Moderate</v>
      </c>
    </row>
    <row r="2651" spans="1:6" ht="15" hidden="1" customHeight="1" x14ac:dyDescent="0.3">
      <c r="A2651" t="s">
        <v>202</v>
      </c>
      <c r="B2651" s="2">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9">
        <f t="shared" si="82"/>
        <v>0.94872929392988836</v>
      </c>
      <c r="F2651" t="str">
        <f t="shared" si="83"/>
        <v>Expected</v>
      </c>
    </row>
    <row r="2652" spans="1:6" ht="15" hidden="1" customHeight="1" x14ac:dyDescent="0.3">
      <c r="A2652" t="s">
        <v>202</v>
      </c>
      <c r="B2652" s="2">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9">
        <f t="shared" si="82"/>
        <v>0.86112872072633173</v>
      </c>
      <c r="F2652" t="str">
        <f t="shared" si="83"/>
        <v>Moderate</v>
      </c>
    </row>
    <row r="2653" spans="1:6" ht="15" hidden="1" customHeight="1" x14ac:dyDescent="0.3">
      <c r="A2653" t="s">
        <v>202</v>
      </c>
      <c r="B2653" s="2">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9">
        <f t="shared" si="82"/>
        <v>0.45668754263037142</v>
      </c>
      <c r="F2653" t="str">
        <f t="shared" si="83"/>
        <v>Poor</v>
      </c>
    </row>
    <row r="2654" spans="1:6" ht="15" hidden="1" customHeight="1" x14ac:dyDescent="0.3">
      <c r="A2654" t="s">
        <v>202</v>
      </c>
      <c r="B2654" s="2">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9">
        <f t="shared" si="82"/>
        <v>0.87869900598691297</v>
      </c>
      <c r="F2654" t="str">
        <f t="shared" si="83"/>
        <v>Moderate</v>
      </c>
    </row>
    <row r="2655" spans="1:6" ht="15" hidden="1" customHeight="1" x14ac:dyDescent="0.3">
      <c r="A2655" t="s">
        <v>202</v>
      </c>
      <c r="B2655" s="2">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9">
        <f t="shared" si="82"/>
        <v>1.0417085890599322</v>
      </c>
      <c r="F2655" t="str">
        <f t="shared" si="83"/>
        <v>Expected</v>
      </c>
    </row>
    <row r="2656" spans="1:6" ht="15" hidden="1" customHeight="1" x14ac:dyDescent="0.3">
      <c r="A2656" t="s">
        <v>202</v>
      </c>
      <c r="B2656" s="2">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9">
        <f t="shared" si="82"/>
        <v>0.84322179562049848</v>
      </c>
      <c r="F2656" t="str">
        <f t="shared" si="83"/>
        <v>Moderate</v>
      </c>
    </row>
    <row r="2657" spans="1:6" ht="15" hidden="1" customHeight="1" x14ac:dyDescent="0.3">
      <c r="A2657" t="s">
        <v>202</v>
      </c>
      <c r="B2657" s="2">
        <v>46113</v>
      </c>
      <c r="C2657" s="5"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9">
        <f t="shared" si="82"/>
        <v>0.87217332734620567</v>
      </c>
      <c r="F2657" t="str">
        <f t="shared" si="83"/>
        <v>Moderate</v>
      </c>
    </row>
    <row r="2658" spans="1:6" ht="15" hidden="1" customHeight="1" x14ac:dyDescent="0.3">
      <c r="A2658" t="s">
        <v>202</v>
      </c>
      <c r="B2658" s="2">
        <v>46143</v>
      </c>
      <c r="C2658" s="5"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9">
        <f t="shared" si="82"/>
        <v>0.92029230081749602</v>
      </c>
      <c r="F2658" t="str">
        <f t="shared" si="83"/>
        <v>Expected</v>
      </c>
    </row>
    <row r="2659" spans="1:6" ht="15" hidden="1" customHeight="1" x14ac:dyDescent="0.3">
      <c r="A2659" t="s">
        <v>202</v>
      </c>
      <c r="B2659" s="2">
        <v>46174</v>
      </c>
      <c r="C2659" cm="1">
        <f t="array" ref="C2659">IFERROR(IF(SUMPRODUCT((measured[Site Name]=A2659)*(measured[Date]=B2659)*ISNUMBER(measured[Measured Value (kWh)]))=0,"",SUMIFS(measured[Measured Value (kWh)],measured[Site Name],A2659,measured[Date],B2659)),"")</f>
        <v>11655</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9">
        <f t="shared" si="82"/>
        <v>0.6834133727373477</v>
      </c>
      <c r="F2659" t="str">
        <f t="shared" si="83"/>
        <v>Poor</v>
      </c>
    </row>
    <row r="2660" spans="1:6" ht="15" hidden="1" customHeight="1" x14ac:dyDescent="0.3">
      <c r="A2660" t="s">
        <v>202</v>
      </c>
      <c r="B2660" s="2">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9" t="str">
        <f t="shared" si="82"/>
        <v/>
      </c>
      <c r="F2660" t="str">
        <f t="shared" si="83"/>
        <v/>
      </c>
    </row>
    <row r="2661" spans="1:6" ht="15" hidden="1" customHeight="1" x14ac:dyDescent="0.3">
      <c r="A2661" t="s">
        <v>202</v>
      </c>
      <c r="B2661" s="2">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9" t="str">
        <f t="shared" si="82"/>
        <v/>
      </c>
      <c r="F2661" t="str">
        <f t="shared" si="83"/>
        <v/>
      </c>
    </row>
    <row r="2662" spans="1:6" ht="15" hidden="1" customHeight="1" x14ac:dyDescent="0.3">
      <c r="A2662" t="s">
        <v>202</v>
      </c>
      <c r="B2662" s="2">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9" t="str">
        <f t="shared" si="82"/>
        <v/>
      </c>
      <c r="F2662" t="str">
        <f t="shared" si="83"/>
        <v/>
      </c>
    </row>
    <row r="2663" spans="1:6" ht="15" hidden="1" customHeight="1" x14ac:dyDescent="0.3">
      <c r="A2663" t="s">
        <v>202</v>
      </c>
      <c r="B2663" s="2">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9" t="str">
        <f t="shared" si="82"/>
        <v/>
      </c>
      <c r="F2663" t="str">
        <f t="shared" si="83"/>
        <v/>
      </c>
    </row>
    <row r="2664" spans="1:6" ht="15" hidden="1" customHeight="1" x14ac:dyDescent="0.3">
      <c r="A2664" t="s">
        <v>202</v>
      </c>
      <c r="B2664" s="2">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9" t="str">
        <f t="shared" si="82"/>
        <v/>
      </c>
      <c r="F2664" t="str">
        <f t="shared" si="83"/>
        <v/>
      </c>
    </row>
    <row r="2665" spans="1:6" ht="15" hidden="1" customHeight="1" x14ac:dyDescent="0.3">
      <c r="A2665" t="s">
        <v>202</v>
      </c>
      <c r="B2665" s="2">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9" t="str">
        <f t="shared" si="82"/>
        <v/>
      </c>
      <c r="F2665" t="str">
        <f t="shared" si="83"/>
        <v/>
      </c>
    </row>
    <row r="2666" spans="1:6" ht="15" hidden="1" customHeight="1" x14ac:dyDescent="0.3">
      <c r="A2666" t="s">
        <v>206</v>
      </c>
      <c r="B2666" s="2">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9" t="str">
        <f t="shared" si="82"/>
        <v/>
      </c>
      <c r="F2666" t="str">
        <f t="shared" si="83"/>
        <v/>
      </c>
    </row>
    <row r="2667" spans="1:6" ht="15" hidden="1" customHeight="1" x14ac:dyDescent="0.3">
      <c r="A2667" t="s">
        <v>206</v>
      </c>
      <c r="B2667" s="2">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9" t="str">
        <f t="shared" si="82"/>
        <v/>
      </c>
      <c r="F2667" t="str">
        <f t="shared" si="83"/>
        <v/>
      </c>
    </row>
    <row r="2668" spans="1:6" ht="15" hidden="1" customHeight="1" x14ac:dyDescent="0.3">
      <c r="A2668" t="s">
        <v>206</v>
      </c>
      <c r="B2668" s="2">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9" t="str">
        <f t="shared" si="82"/>
        <v/>
      </c>
      <c r="F2668" t="str">
        <f t="shared" si="83"/>
        <v/>
      </c>
    </row>
    <row r="2669" spans="1:6" ht="15" hidden="1" customHeight="1" x14ac:dyDescent="0.3">
      <c r="A2669" t="s">
        <v>206</v>
      </c>
      <c r="B2669" s="2">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9" t="str">
        <f t="shared" si="82"/>
        <v/>
      </c>
      <c r="F2669" t="str">
        <f t="shared" si="83"/>
        <v/>
      </c>
    </row>
    <row r="2670" spans="1:6" ht="15" hidden="1" customHeight="1" x14ac:dyDescent="0.3">
      <c r="A2670" t="s">
        <v>206</v>
      </c>
      <c r="B2670" s="2">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9" t="str">
        <f t="shared" si="82"/>
        <v/>
      </c>
      <c r="F2670" t="str">
        <f t="shared" si="83"/>
        <v/>
      </c>
    </row>
    <row r="2671" spans="1:6" ht="15" hidden="1" customHeight="1" x14ac:dyDescent="0.3">
      <c r="A2671" t="s">
        <v>206</v>
      </c>
      <c r="B2671" s="2">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9" t="str">
        <f t="shared" si="82"/>
        <v/>
      </c>
      <c r="F2671" t="str">
        <f t="shared" si="83"/>
        <v/>
      </c>
    </row>
    <row r="2672" spans="1:6" ht="15" hidden="1" customHeight="1" x14ac:dyDescent="0.3">
      <c r="A2672" t="s">
        <v>206</v>
      </c>
      <c r="B2672" s="2">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9" t="str">
        <f t="shared" si="82"/>
        <v/>
      </c>
      <c r="F2672" t="str">
        <f t="shared" si="83"/>
        <v/>
      </c>
    </row>
    <row r="2673" spans="1:6" ht="15" hidden="1" customHeight="1" x14ac:dyDescent="0.3">
      <c r="A2673" t="s">
        <v>206</v>
      </c>
      <c r="B2673" s="2">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9" t="str">
        <f t="shared" si="82"/>
        <v/>
      </c>
      <c r="F2673" t="str">
        <f t="shared" si="83"/>
        <v/>
      </c>
    </row>
    <row r="2674" spans="1:6" ht="15" hidden="1" customHeight="1" x14ac:dyDescent="0.3">
      <c r="A2674" t="s">
        <v>206</v>
      </c>
      <c r="B2674" s="2">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9" t="str">
        <f t="shared" si="82"/>
        <v/>
      </c>
      <c r="F2674" t="str">
        <f t="shared" si="83"/>
        <v/>
      </c>
    </row>
    <row r="2675" spans="1:6" ht="15" hidden="1" customHeight="1" x14ac:dyDescent="0.3">
      <c r="A2675" t="s">
        <v>206</v>
      </c>
      <c r="B2675" s="2">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9" t="str">
        <f t="shared" si="82"/>
        <v/>
      </c>
      <c r="F2675" t="str">
        <f t="shared" si="83"/>
        <v/>
      </c>
    </row>
    <row r="2676" spans="1:6" ht="15" hidden="1" customHeight="1" x14ac:dyDescent="0.3">
      <c r="A2676" t="s">
        <v>206</v>
      </c>
      <c r="B2676" s="2">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9" t="str">
        <f t="shared" si="82"/>
        <v/>
      </c>
      <c r="F2676" t="str">
        <f t="shared" si="83"/>
        <v/>
      </c>
    </row>
    <row r="2677" spans="1:6" ht="15" hidden="1" customHeight="1" x14ac:dyDescent="0.3">
      <c r="A2677" t="s">
        <v>206</v>
      </c>
      <c r="B2677" s="2">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9" t="str">
        <f t="shared" si="82"/>
        <v/>
      </c>
      <c r="F2677" t="str">
        <f t="shared" si="83"/>
        <v/>
      </c>
    </row>
    <row r="2678" spans="1:6" ht="15" hidden="1" customHeight="1" x14ac:dyDescent="0.3">
      <c r="A2678" t="s">
        <v>206</v>
      </c>
      <c r="B2678" s="2">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9" t="str">
        <f t="shared" si="82"/>
        <v/>
      </c>
      <c r="F2678" t="str">
        <f t="shared" si="83"/>
        <v/>
      </c>
    </row>
    <row r="2679" spans="1:6" ht="15" hidden="1" customHeight="1" x14ac:dyDescent="0.3">
      <c r="A2679" t="s">
        <v>206</v>
      </c>
      <c r="B2679" s="2">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9" t="str">
        <f t="shared" si="82"/>
        <v/>
      </c>
      <c r="F2679" t="str">
        <f t="shared" si="83"/>
        <v/>
      </c>
    </row>
    <row r="2680" spans="1:6" ht="15" hidden="1" customHeight="1" x14ac:dyDescent="0.3">
      <c r="A2680" t="s">
        <v>206</v>
      </c>
      <c r="B2680" s="2">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9" t="str">
        <f t="shared" si="82"/>
        <v/>
      </c>
      <c r="F2680" t="str">
        <f t="shared" si="83"/>
        <v/>
      </c>
    </row>
    <row r="2681" spans="1:6" ht="15" hidden="1" customHeight="1" x14ac:dyDescent="0.3">
      <c r="A2681" t="s">
        <v>206</v>
      </c>
      <c r="B2681" s="2">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9" t="str">
        <f t="shared" si="82"/>
        <v/>
      </c>
      <c r="F2681" t="str">
        <f t="shared" si="83"/>
        <v/>
      </c>
    </row>
    <row r="2682" spans="1:6" ht="15" hidden="1" customHeight="1" x14ac:dyDescent="0.3">
      <c r="A2682" t="s">
        <v>206</v>
      </c>
      <c r="B2682" s="2">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9" t="str">
        <f t="shared" si="82"/>
        <v/>
      </c>
      <c r="F2682" t="str">
        <f t="shared" si="83"/>
        <v/>
      </c>
    </row>
    <row r="2683" spans="1:6" ht="15" hidden="1" customHeight="1" x14ac:dyDescent="0.3">
      <c r="A2683" t="s">
        <v>206</v>
      </c>
      <c r="B2683" s="2">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9" t="str">
        <f t="shared" si="82"/>
        <v/>
      </c>
      <c r="F2683" t="str">
        <f t="shared" si="83"/>
        <v/>
      </c>
    </row>
    <row r="2684" spans="1:6" ht="15" hidden="1" customHeight="1" x14ac:dyDescent="0.3">
      <c r="A2684" t="s">
        <v>206</v>
      </c>
      <c r="B2684" s="2">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9" t="str">
        <f t="shared" si="82"/>
        <v/>
      </c>
      <c r="F2684" t="str">
        <f t="shared" si="83"/>
        <v/>
      </c>
    </row>
    <row r="2685" spans="1:6" ht="15" hidden="1" customHeight="1" x14ac:dyDescent="0.3">
      <c r="A2685" t="s">
        <v>206</v>
      </c>
      <c r="B2685" s="2">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9" t="str">
        <f t="shared" si="82"/>
        <v/>
      </c>
      <c r="F2685" t="str">
        <f t="shared" si="83"/>
        <v/>
      </c>
    </row>
    <row r="2686" spans="1:6" ht="15" hidden="1" customHeight="1" x14ac:dyDescent="0.3">
      <c r="A2686" t="s">
        <v>206</v>
      </c>
      <c r="B2686" s="2">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9" t="str">
        <f t="shared" si="82"/>
        <v/>
      </c>
      <c r="F2686" t="str">
        <f t="shared" si="83"/>
        <v/>
      </c>
    </row>
    <row r="2687" spans="1:6" ht="15" hidden="1" customHeight="1" x14ac:dyDescent="0.3">
      <c r="A2687" t="s">
        <v>206</v>
      </c>
      <c r="B2687" s="2">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9" t="str">
        <f t="shared" si="82"/>
        <v/>
      </c>
      <c r="F2687" t="str">
        <f t="shared" si="83"/>
        <v/>
      </c>
    </row>
    <row r="2688" spans="1:6" ht="15" hidden="1" customHeight="1" x14ac:dyDescent="0.3">
      <c r="A2688" t="s">
        <v>206</v>
      </c>
      <c r="B2688" s="2">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9" t="str">
        <f t="shared" si="82"/>
        <v/>
      </c>
      <c r="F2688" t="str">
        <f t="shared" si="83"/>
        <v/>
      </c>
    </row>
    <row r="2689" spans="1:6" ht="15" hidden="1" customHeight="1" x14ac:dyDescent="0.3">
      <c r="A2689" t="s">
        <v>206</v>
      </c>
      <c r="B2689" s="2">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9" t="str">
        <f t="shared" si="82"/>
        <v/>
      </c>
      <c r="F2689" t="str">
        <f t="shared" si="83"/>
        <v/>
      </c>
    </row>
    <row r="2690" spans="1:6" ht="15" hidden="1" customHeight="1" x14ac:dyDescent="0.3">
      <c r="A2690" t="s">
        <v>206</v>
      </c>
      <c r="B2690" s="2">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9" t="str">
        <f t="shared" ref="E2690:E2753" si="84">IF(OR(C2690="",D2690="",D2690=0),"",C2690/D2690)</f>
        <v/>
      </c>
      <c r="F2690" t="str">
        <f t="shared" ref="F2690:F2753" si="85">IF(E2690="","",IF(E2690&gt;=0.9,"Expected",IF(E2690&gt;=0.7,"Moderate","Poor")))</f>
        <v/>
      </c>
    </row>
    <row r="2691" spans="1:6" ht="15" hidden="1" customHeight="1" x14ac:dyDescent="0.3">
      <c r="A2691" t="s">
        <v>206</v>
      </c>
      <c r="B2691" s="2">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9" t="str">
        <f t="shared" si="84"/>
        <v/>
      </c>
      <c r="F2691" t="str">
        <f t="shared" si="85"/>
        <v/>
      </c>
    </row>
    <row r="2692" spans="1:6" ht="15" hidden="1" customHeight="1" x14ac:dyDescent="0.3">
      <c r="A2692" t="s">
        <v>206</v>
      </c>
      <c r="B2692" s="2">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9" t="str">
        <f t="shared" si="84"/>
        <v/>
      </c>
      <c r="F2692" t="str">
        <f t="shared" si="85"/>
        <v/>
      </c>
    </row>
    <row r="2693" spans="1:6" ht="15" hidden="1" customHeight="1" x14ac:dyDescent="0.3">
      <c r="A2693" t="s">
        <v>206</v>
      </c>
      <c r="B2693" s="2">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9" t="str">
        <f t="shared" si="84"/>
        <v/>
      </c>
      <c r="F2693" t="str">
        <f t="shared" si="85"/>
        <v/>
      </c>
    </row>
    <row r="2694" spans="1:6" ht="15" hidden="1" customHeight="1" x14ac:dyDescent="0.3">
      <c r="A2694" t="s">
        <v>206</v>
      </c>
      <c r="B2694" s="2">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9" t="str">
        <f t="shared" si="84"/>
        <v/>
      </c>
      <c r="F2694" t="str">
        <f t="shared" si="85"/>
        <v/>
      </c>
    </row>
    <row r="2695" spans="1:6" ht="15" hidden="1" customHeight="1" x14ac:dyDescent="0.3">
      <c r="A2695" t="s">
        <v>206</v>
      </c>
      <c r="B2695" s="2">
        <v>46174</v>
      </c>
      <c r="C2695" cm="1">
        <f t="array" ref="C2695">IFERROR(IF(SUMPRODUCT((measured[Site Name]=A2695)*(measured[Date]=B2695)*ISNUMBER(measured[Measured Value (kWh)]))=0,"",SUMIFS(measured[Measured Value (kWh)],measured[Site Name],A2695,measured[Date],B2695)),"")</f>
        <v>0</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9" t="str">
        <f t="shared" si="84"/>
        <v/>
      </c>
      <c r="F2695" t="str">
        <f t="shared" si="85"/>
        <v/>
      </c>
    </row>
    <row r="2696" spans="1:6" ht="15" hidden="1" customHeight="1" x14ac:dyDescent="0.3">
      <c r="A2696" t="s">
        <v>206</v>
      </c>
      <c r="B2696" s="2">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9" t="str">
        <f t="shared" si="84"/>
        <v/>
      </c>
      <c r="F2696" t="str">
        <f t="shared" si="85"/>
        <v/>
      </c>
    </row>
    <row r="2697" spans="1:6" ht="15" hidden="1" customHeight="1" x14ac:dyDescent="0.3">
      <c r="A2697" t="s">
        <v>206</v>
      </c>
      <c r="B2697" s="2">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9" t="str">
        <f t="shared" si="84"/>
        <v/>
      </c>
      <c r="F2697" t="str">
        <f t="shared" si="85"/>
        <v/>
      </c>
    </row>
    <row r="2698" spans="1:6" ht="15" hidden="1" customHeight="1" x14ac:dyDescent="0.3">
      <c r="A2698" t="s">
        <v>206</v>
      </c>
      <c r="B2698" s="2">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9" t="str">
        <f t="shared" si="84"/>
        <v/>
      </c>
      <c r="F2698" t="str">
        <f t="shared" si="85"/>
        <v/>
      </c>
    </row>
    <row r="2699" spans="1:6" ht="15" hidden="1" customHeight="1" x14ac:dyDescent="0.3">
      <c r="A2699" t="s">
        <v>206</v>
      </c>
      <c r="B2699" s="2">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9" t="str">
        <f t="shared" si="84"/>
        <v/>
      </c>
      <c r="F2699" t="str">
        <f t="shared" si="85"/>
        <v/>
      </c>
    </row>
    <row r="2700" spans="1:6" ht="15" hidden="1" customHeight="1" x14ac:dyDescent="0.3">
      <c r="A2700" t="s">
        <v>206</v>
      </c>
      <c r="B2700" s="2">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9" t="str">
        <f t="shared" si="84"/>
        <v/>
      </c>
      <c r="F2700" t="str">
        <f t="shared" si="85"/>
        <v/>
      </c>
    </row>
    <row r="2701" spans="1:6" ht="15" hidden="1" customHeight="1" x14ac:dyDescent="0.3">
      <c r="A2701" t="s">
        <v>206</v>
      </c>
      <c r="B2701" s="2">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9" t="str">
        <f t="shared" si="84"/>
        <v/>
      </c>
      <c r="F2701" t="str">
        <f t="shared" si="85"/>
        <v/>
      </c>
    </row>
    <row r="2702" spans="1:6" hidden="1" x14ac:dyDescent="0.3">
      <c r="A2702" t="s">
        <v>252</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9" t="str">
        <f t="shared" si="84"/>
        <v/>
      </c>
      <c r="F2702" t="str">
        <f t="shared" si="85"/>
        <v/>
      </c>
    </row>
    <row r="2703" spans="1:6" hidden="1" x14ac:dyDescent="0.3">
      <c r="A2703" t="s">
        <v>252</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9" t="str">
        <f t="shared" si="84"/>
        <v/>
      </c>
      <c r="F2703" t="str">
        <f t="shared" si="85"/>
        <v/>
      </c>
    </row>
    <row r="2704" spans="1:6" hidden="1" x14ac:dyDescent="0.3">
      <c r="A2704" t="s">
        <v>252</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9" t="str">
        <f t="shared" si="84"/>
        <v/>
      </c>
      <c r="F2704" t="str">
        <f t="shared" si="85"/>
        <v/>
      </c>
    </row>
    <row r="2705" spans="1:6" hidden="1" x14ac:dyDescent="0.3">
      <c r="A2705" t="s">
        <v>252</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9" t="str">
        <f t="shared" si="84"/>
        <v/>
      </c>
      <c r="F2705" t="str">
        <f t="shared" si="85"/>
        <v/>
      </c>
    </row>
    <row r="2706" spans="1:6" hidden="1" x14ac:dyDescent="0.3">
      <c r="A2706" t="s">
        <v>252</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9" t="str">
        <f t="shared" si="84"/>
        <v/>
      </c>
      <c r="F2706" t="str">
        <f t="shared" si="85"/>
        <v/>
      </c>
    </row>
    <row r="2707" spans="1:6" hidden="1" x14ac:dyDescent="0.3">
      <c r="A2707" t="s">
        <v>252</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9" t="str">
        <f t="shared" si="84"/>
        <v/>
      </c>
      <c r="F2707" t="str">
        <f t="shared" si="85"/>
        <v/>
      </c>
    </row>
    <row r="2708" spans="1:6" hidden="1" x14ac:dyDescent="0.3">
      <c r="A2708" t="s">
        <v>252</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9" t="str">
        <f t="shared" si="84"/>
        <v/>
      </c>
      <c r="F2708" t="str">
        <f t="shared" si="85"/>
        <v/>
      </c>
    </row>
    <row r="2709" spans="1:6" hidden="1" x14ac:dyDescent="0.3">
      <c r="A2709" t="s">
        <v>252</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9" t="str">
        <f t="shared" si="84"/>
        <v/>
      </c>
      <c r="F2709" t="str">
        <f t="shared" si="85"/>
        <v/>
      </c>
    </row>
    <row r="2710" spans="1:6" hidden="1" x14ac:dyDescent="0.3">
      <c r="A2710" t="s">
        <v>252</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9" t="str">
        <f t="shared" si="84"/>
        <v/>
      </c>
      <c r="F2710" t="str">
        <f t="shared" si="85"/>
        <v/>
      </c>
    </row>
    <row r="2711" spans="1:6" hidden="1" x14ac:dyDescent="0.3">
      <c r="A2711" t="s">
        <v>252</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9" t="str">
        <f t="shared" si="84"/>
        <v/>
      </c>
      <c r="F2711" t="str">
        <f t="shared" si="85"/>
        <v/>
      </c>
    </row>
    <row r="2712" spans="1:6" hidden="1" x14ac:dyDescent="0.3">
      <c r="A2712" t="s">
        <v>252</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9" t="str">
        <f t="shared" si="84"/>
        <v/>
      </c>
      <c r="F2712" t="str">
        <f t="shared" si="85"/>
        <v/>
      </c>
    </row>
    <row r="2713" spans="1:6" hidden="1" x14ac:dyDescent="0.3">
      <c r="A2713" t="s">
        <v>252</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9" t="str">
        <f t="shared" si="84"/>
        <v/>
      </c>
      <c r="F2713" t="str">
        <f t="shared" si="85"/>
        <v/>
      </c>
    </row>
    <row r="2714" spans="1:6" hidden="1" x14ac:dyDescent="0.3">
      <c r="A2714" t="s">
        <v>252</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9" t="str">
        <f t="shared" si="84"/>
        <v/>
      </c>
      <c r="F2714" t="str">
        <f t="shared" si="85"/>
        <v/>
      </c>
    </row>
    <row r="2715" spans="1:6" hidden="1" x14ac:dyDescent="0.3">
      <c r="A2715" t="s">
        <v>252</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9" t="str">
        <f t="shared" si="84"/>
        <v/>
      </c>
      <c r="F2715" t="str">
        <f t="shared" si="85"/>
        <v/>
      </c>
    </row>
    <row r="2716" spans="1:6" hidden="1" x14ac:dyDescent="0.3">
      <c r="A2716" t="s">
        <v>252</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9" t="str">
        <f t="shared" si="84"/>
        <v/>
      </c>
      <c r="F2716" t="str">
        <f t="shared" si="85"/>
        <v/>
      </c>
    </row>
    <row r="2717" spans="1:6" hidden="1" x14ac:dyDescent="0.3">
      <c r="A2717" t="s">
        <v>252</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9" t="str">
        <f t="shared" si="84"/>
        <v/>
      </c>
      <c r="F2717" t="str">
        <f t="shared" si="85"/>
        <v/>
      </c>
    </row>
    <row r="2718" spans="1:6" hidden="1" x14ac:dyDescent="0.3">
      <c r="A2718" t="s">
        <v>252</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9" t="str">
        <f t="shared" si="84"/>
        <v/>
      </c>
      <c r="F2718" t="str">
        <f t="shared" si="85"/>
        <v/>
      </c>
    </row>
    <row r="2719" spans="1:6" hidden="1" x14ac:dyDescent="0.3">
      <c r="A2719" t="s">
        <v>252</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9" t="str">
        <f t="shared" si="84"/>
        <v/>
      </c>
      <c r="F2719" t="str">
        <f t="shared" si="85"/>
        <v/>
      </c>
    </row>
    <row r="2720" spans="1:6" hidden="1" x14ac:dyDescent="0.3">
      <c r="A2720" t="s">
        <v>252</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9" t="str">
        <f t="shared" si="84"/>
        <v/>
      </c>
      <c r="F2720" t="str">
        <f t="shared" si="85"/>
        <v/>
      </c>
    </row>
    <row r="2721" spans="1:6" hidden="1" x14ac:dyDescent="0.3">
      <c r="A2721" t="s">
        <v>252</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9" t="str">
        <f t="shared" si="84"/>
        <v/>
      </c>
      <c r="F2721" t="str">
        <f t="shared" si="85"/>
        <v/>
      </c>
    </row>
    <row r="2722" spans="1:6" hidden="1" x14ac:dyDescent="0.3">
      <c r="A2722" t="s">
        <v>252</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9" t="str">
        <f t="shared" si="84"/>
        <v/>
      </c>
      <c r="F2722" t="str">
        <f t="shared" si="85"/>
        <v/>
      </c>
    </row>
    <row r="2723" spans="1:6" hidden="1" x14ac:dyDescent="0.3">
      <c r="A2723" t="s">
        <v>252</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9" t="str">
        <f t="shared" si="84"/>
        <v/>
      </c>
      <c r="F2723" t="str">
        <f t="shared" si="85"/>
        <v/>
      </c>
    </row>
    <row r="2724" spans="1:6" hidden="1" x14ac:dyDescent="0.3">
      <c r="A2724" t="s">
        <v>252</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9" t="str">
        <f t="shared" si="84"/>
        <v/>
      </c>
      <c r="F2724" t="str">
        <f t="shared" si="85"/>
        <v/>
      </c>
    </row>
    <row r="2725" spans="1:6" hidden="1" x14ac:dyDescent="0.3">
      <c r="A2725" t="s">
        <v>252</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9" t="str">
        <f t="shared" si="84"/>
        <v/>
      </c>
      <c r="F2725" t="str">
        <f t="shared" si="85"/>
        <v/>
      </c>
    </row>
    <row r="2726" spans="1:6" hidden="1" x14ac:dyDescent="0.3">
      <c r="A2726" t="s">
        <v>252</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9" t="str">
        <f t="shared" si="84"/>
        <v/>
      </c>
      <c r="F2726" t="str">
        <f t="shared" si="85"/>
        <v/>
      </c>
    </row>
    <row r="2727" spans="1:6" hidden="1" x14ac:dyDescent="0.3">
      <c r="A2727" t="s">
        <v>252</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9" t="str">
        <f t="shared" si="84"/>
        <v/>
      </c>
      <c r="F2727" t="str">
        <f t="shared" si="85"/>
        <v/>
      </c>
    </row>
    <row r="2728" spans="1:6" hidden="1" x14ac:dyDescent="0.3">
      <c r="A2728" t="s">
        <v>252</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9" t="str">
        <f t="shared" si="84"/>
        <v/>
      </c>
      <c r="F2728" t="str">
        <f t="shared" si="85"/>
        <v/>
      </c>
    </row>
    <row r="2729" spans="1:6" hidden="1" x14ac:dyDescent="0.3">
      <c r="A2729" t="s">
        <v>252</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9" t="str">
        <f t="shared" si="84"/>
        <v/>
      </c>
      <c r="F2729" t="str">
        <f t="shared" si="85"/>
        <v/>
      </c>
    </row>
    <row r="2730" spans="1:6" hidden="1" x14ac:dyDescent="0.3">
      <c r="A2730" t="s">
        <v>252</v>
      </c>
      <c r="B2730" s="2">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9">
        <f t="shared" si="84"/>
        <v>0.94005609410158786</v>
      </c>
      <c r="F2730" t="str">
        <f t="shared" si="85"/>
        <v>Expected</v>
      </c>
    </row>
    <row r="2731" spans="1:6" hidden="1" x14ac:dyDescent="0.3">
      <c r="A2731" t="s">
        <v>252</v>
      </c>
      <c r="B2731" s="2">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9" t="str">
        <f t="shared" si="84"/>
        <v/>
      </c>
      <c r="F2731" t="str">
        <f t="shared" si="85"/>
        <v/>
      </c>
    </row>
    <row r="2732" spans="1:6" hidden="1" x14ac:dyDescent="0.3">
      <c r="A2732" t="s">
        <v>252</v>
      </c>
      <c r="B2732" s="2">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9" t="str">
        <f t="shared" si="84"/>
        <v/>
      </c>
      <c r="F2732" t="str">
        <f t="shared" si="85"/>
        <v/>
      </c>
    </row>
    <row r="2733" spans="1:6" hidden="1" x14ac:dyDescent="0.3">
      <c r="A2733" t="s">
        <v>252</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9" t="str">
        <f t="shared" si="84"/>
        <v/>
      </c>
      <c r="F2733" t="str">
        <f t="shared" si="85"/>
        <v/>
      </c>
    </row>
    <row r="2734" spans="1:6" hidden="1" x14ac:dyDescent="0.3">
      <c r="A2734" t="s">
        <v>252</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9" t="str">
        <f t="shared" si="84"/>
        <v/>
      </c>
      <c r="F2734" t="str">
        <f t="shared" si="85"/>
        <v/>
      </c>
    </row>
    <row r="2735" spans="1:6" hidden="1" x14ac:dyDescent="0.3">
      <c r="A2735" t="s">
        <v>252</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9" t="str">
        <f t="shared" si="84"/>
        <v/>
      </c>
      <c r="F2735" t="str">
        <f t="shared" si="85"/>
        <v/>
      </c>
    </row>
    <row r="2736" spans="1:6" hidden="1" x14ac:dyDescent="0.3">
      <c r="A2736" t="s">
        <v>252</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9" t="str">
        <f t="shared" si="84"/>
        <v/>
      </c>
      <c r="F2736" t="str">
        <f t="shared" si="85"/>
        <v/>
      </c>
    </row>
    <row r="2737" spans="1:6" hidden="1" x14ac:dyDescent="0.3">
      <c r="A2737" t="s">
        <v>252</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9" t="str">
        <f t="shared" si="84"/>
        <v/>
      </c>
      <c r="F2737" t="str">
        <f t="shared" si="85"/>
        <v/>
      </c>
    </row>
    <row r="2738" spans="1:6" hidden="1" x14ac:dyDescent="0.3">
      <c r="A2738" t="s">
        <v>251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9" t="str">
        <f t="shared" si="84"/>
        <v/>
      </c>
      <c r="F2738" t="str">
        <f t="shared" si="85"/>
        <v/>
      </c>
    </row>
    <row r="2739" spans="1:6" hidden="1" x14ac:dyDescent="0.3">
      <c r="A2739" t="s">
        <v>251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9" t="str">
        <f t="shared" si="84"/>
        <v/>
      </c>
      <c r="F2739" t="str">
        <f t="shared" si="85"/>
        <v/>
      </c>
    </row>
    <row r="2740" spans="1:6" hidden="1" x14ac:dyDescent="0.3">
      <c r="A2740" t="s">
        <v>251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9" t="str">
        <f t="shared" si="84"/>
        <v/>
      </c>
      <c r="F2740" t="str">
        <f t="shared" si="85"/>
        <v/>
      </c>
    </row>
    <row r="2741" spans="1:6" hidden="1" x14ac:dyDescent="0.3">
      <c r="A2741" t="s">
        <v>251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9" t="str">
        <f t="shared" si="84"/>
        <v/>
      </c>
      <c r="F2741" t="str">
        <f t="shared" si="85"/>
        <v/>
      </c>
    </row>
    <row r="2742" spans="1:6" hidden="1" x14ac:dyDescent="0.3">
      <c r="A2742" t="s">
        <v>251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9" t="str">
        <f t="shared" si="84"/>
        <v/>
      </c>
      <c r="F2742" t="str">
        <f t="shared" si="85"/>
        <v/>
      </c>
    </row>
    <row r="2743" spans="1:6" hidden="1" x14ac:dyDescent="0.3">
      <c r="A2743" t="s">
        <v>251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9" t="str">
        <f t="shared" si="84"/>
        <v/>
      </c>
      <c r="F2743" t="str">
        <f t="shared" si="85"/>
        <v/>
      </c>
    </row>
    <row r="2744" spans="1:6" hidden="1" x14ac:dyDescent="0.3">
      <c r="A2744" t="s">
        <v>251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9" t="str">
        <f t="shared" si="84"/>
        <v/>
      </c>
      <c r="F2744" t="str">
        <f t="shared" si="85"/>
        <v/>
      </c>
    </row>
    <row r="2745" spans="1:6" hidden="1" x14ac:dyDescent="0.3">
      <c r="A2745" t="s">
        <v>251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9" t="str">
        <f t="shared" si="84"/>
        <v/>
      </c>
      <c r="F2745" t="str">
        <f t="shared" si="85"/>
        <v/>
      </c>
    </row>
    <row r="2746" spans="1:6" hidden="1" x14ac:dyDescent="0.3">
      <c r="A2746" t="s">
        <v>251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9" t="str">
        <f t="shared" si="84"/>
        <v/>
      </c>
      <c r="F2746" t="str">
        <f t="shared" si="85"/>
        <v/>
      </c>
    </row>
    <row r="2747" spans="1:6" hidden="1" x14ac:dyDescent="0.3">
      <c r="A2747" t="s">
        <v>251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9" t="str">
        <f t="shared" si="84"/>
        <v/>
      </c>
      <c r="F2747" t="str">
        <f t="shared" si="85"/>
        <v/>
      </c>
    </row>
    <row r="2748" spans="1:6" hidden="1" x14ac:dyDescent="0.3">
      <c r="A2748" t="s">
        <v>251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9" t="str">
        <f t="shared" si="84"/>
        <v/>
      </c>
      <c r="F2748" t="str">
        <f t="shared" si="85"/>
        <v/>
      </c>
    </row>
    <row r="2749" spans="1:6" hidden="1" x14ac:dyDescent="0.3">
      <c r="A2749" t="s">
        <v>251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9" t="str">
        <f t="shared" si="84"/>
        <v/>
      </c>
      <c r="F2749" t="str">
        <f t="shared" si="85"/>
        <v/>
      </c>
    </row>
    <row r="2750" spans="1:6" hidden="1" x14ac:dyDescent="0.3">
      <c r="A2750" t="s">
        <v>251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9" t="str">
        <f t="shared" si="84"/>
        <v/>
      </c>
      <c r="F2750" t="str">
        <f t="shared" si="85"/>
        <v/>
      </c>
    </row>
    <row r="2751" spans="1:6" hidden="1" x14ac:dyDescent="0.3">
      <c r="A2751" t="s">
        <v>251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9" t="str">
        <f t="shared" si="84"/>
        <v/>
      </c>
      <c r="F2751" t="str">
        <f t="shared" si="85"/>
        <v/>
      </c>
    </row>
    <row r="2752" spans="1:6" hidden="1" x14ac:dyDescent="0.3">
      <c r="A2752" t="s">
        <v>251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9" t="str">
        <f t="shared" si="84"/>
        <v/>
      </c>
      <c r="F2752" t="str">
        <f t="shared" si="85"/>
        <v/>
      </c>
    </row>
    <row r="2753" spans="1:6" hidden="1" x14ac:dyDescent="0.3">
      <c r="A2753" t="s">
        <v>251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9" t="str">
        <f t="shared" si="84"/>
        <v/>
      </c>
      <c r="F2753" t="str">
        <f t="shared" si="85"/>
        <v/>
      </c>
    </row>
    <row r="2754" spans="1:6" hidden="1" x14ac:dyDescent="0.3">
      <c r="A2754" t="s">
        <v>251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9" t="str">
        <f t="shared" ref="E2754:E2809" si="86">IF(OR(C2754="",D2754="",D2754=0),"",C2754/D2754)</f>
        <v/>
      </c>
      <c r="F2754" t="str">
        <f t="shared" ref="F2754:F2809" si="87">IF(E2754="","",IF(E2754&gt;=0.9,"Expected",IF(E2754&gt;=0.7,"Moderate","Poor")))</f>
        <v/>
      </c>
    </row>
    <row r="2755" spans="1:6" hidden="1" x14ac:dyDescent="0.3">
      <c r="A2755" t="s">
        <v>251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9" t="str">
        <f t="shared" si="86"/>
        <v/>
      </c>
      <c r="F2755" t="str">
        <f t="shared" si="87"/>
        <v/>
      </c>
    </row>
    <row r="2756" spans="1:6" hidden="1" x14ac:dyDescent="0.3">
      <c r="A2756" t="s">
        <v>251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9" t="str">
        <f t="shared" si="86"/>
        <v/>
      </c>
      <c r="F2756" t="str">
        <f t="shared" si="87"/>
        <v/>
      </c>
    </row>
    <row r="2757" spans="1:6" hidden="1" x14ac:dyDescent="0.3">
      <c r="A2757" t="s">
        <v>251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9" t="str">
        <f t="shared" si="86"/>
        <v/>
      </c>
      <c r="F2757" t="str">
        <f t="shared" si="87"/>
        <v/>
      </c>
    </row>
    <row r="2758" spans="1:6" hidden="1" x14ac:dyDescent="0.3">
      <c r="A2758" t="s">
        <v>251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9" t="str">
        <f t="shared" si="86"/>
        <v/>
      </c>
      <c r="F2758" t="str">
        <f t="shared" si="87"/>
        <v/>
      </c>
    </row>
    <row r="2759" spans="1:6" hidden="1" x14ac:dyDescent="0.3">
      <c r="A2759" t="s">
        <v>251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9" t="str">
        <f t="shared" si="86"/>
        <v/>
      </c>
      <c r="F2759" t="str">
        <f t="shared" si="87"/>
        <v/>
      </c>
    </row>
    <row r="2760" spans="1:6" hidden="1" x14ac:dyDescent="0.3">
      <c r="A2760" t="s">
        <v>251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9" t="str">
        <f t="shared" si="86"/>
        <v/>
      </c>
      <c r="F2760" t="str">
        <f t="shared" si="87"/>
        <v/>
      </c>
    </row>
    <row r="2761" spans="1:6" hidden="1" x14ac:dyDescent="0.3">
      <c r="A2761" t="s">
        <v>251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9" t="str">
        <f t="shared" si="86"/>
        <v/>
      </c>
      <c r="F2761" t="str">
        <f t="shared" si="87"/>
        <v/>
      </c>
    </row>
    <row r="2762" spans="1:6" hidden="1" x14ac:dyDescent="0.3">
      <c r="A2762" t="s">
        <v>251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9" t="str">
        <f t="shared" si="86"/>
        <v/>
      </c>
      <c r="F2762" t="str">
        <f t="shared" si="87"/>
        <v/>
      </c>
    </row>
    <row r="2763" spans="1:6" hidden="1" x14ac:dyDescent="0.3">
      <c r="A2763" t="s">
        <v>251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9" t="str">
        <f t="shared" si="86"/>
        <v/>
      </c>
      <c r="F2763" t="str">
        <f t="shared" si="87"/>
        <v/>
      </c>
    </row>
    <row r="2764" spans="1:6" hidden="1" x14ac:dyDescent="0.3">
      <c r="A2764" t="s">
        <v>251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9" t="str">
        <f t="shared" si="86"/>
        <v/>
      </c>
      <c r="F2764" t="str">
        <f t="shared" si="87"/>
        <v/>
      </c>
    </row>
    <row r="2765" spans="1:6" hidden="1" x14ac:dyDescent="0.3">
      <c r="A2765" t="s">
        <v>251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9" t="str">
        <f t="shared" si="86"/>
        <v/>
      </c>
      <c r="F2765" t="str">
        <f t="shared" si="87"/>
        <v/>
      </c>
    </row>
    <row r="2766" spans="1:6" hidden="1" x14ac:dyDescent="0.3">
      <c r="A2766" t="s">
        <v>251</v>
      </c>
      <c r="B2766" s="2">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9">
        <f t="shared" si="86"/>
        <v>0.93304590498153439</v>
      </c>
      <c r="F2766" t="str">
        <f t="shared" si="87"/>
        <v>Expected</v>
      </c>
    </row>
    <row r="2767" spans="1:6" hidden="1" x14ac:dyDescent="0.3">
      <c r="A2767" t="s">
        <v>251</v>
      </c>
      <c r="B2767" s="2">
        <v>46174</v>
      </c>
      <c r="C2767" cm="1">
        <f t="array" ref="C2767">IFERROR(IF(SUMPRODUCT((measured[Site Name]=A2767)*(measured[Date]=B2767)*ISNUMBER(measured[Measured Value (kWh)]))=0,"",SUMIFS(measured[Measured Value (kWh)],measured[Site Name],A2767,measured[Date],B2767)),"")</f>
        <v>25295</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9">
        <f t="shared" si="86"/>
        <v>0.88307272301993767</v>
      </c>
      <c r="F2767" t="str">
        <f t="shared" si="87"/>
        <v>Moderate</v>
      </c>
    </row>
    <row r="2768" spans="1:6" hidden="1" x14ac:dyDescent="0.3">
      <c r="A2768" t="s">
        <v>251</v>
      </c>
      <c r="B2768" s="2">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9" t="str">
        <f t="shared" si="86"/>
        <v/>
      </c>
      <c r="F2768" t="str">
        <f t="shared" si="87"/>
        <v/>
      </c>
    </row>
    <row r="2769" spans="1:6" hidden="1" x14ac:dyDescent="0.3">
      <c r="A2769" t="s">
        <v>251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9" t="str">
        <f t="shared" si="86"/>
        <v/>
      </c>
      <c r="F2769" t="str">
        <f t="shared" si="87"/>
        <v/>
      </c>
    </row>
    <row r="2770" spans="1:6" hidden="1" x14ac:dyDescent="0.3">
      <c r="A2770" t="s">
        <v>251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9" t="str">
        <f t="shared" si="86"/>
        <v/>
      </c>
      <c r="F2770" t="str">
        <f t="shared" si="87"/>
        <v/>
      </c>
    </row>
    <row r="2771" spans="1:6" hidden="1" x14ac:dyDescent="0.3">
      <c r="A2771" t="s">
        <v>251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9" t="str">
        <f t="shared" si="86"/>
        <v/>
      </c>
      <c r="F2771" t="str">
        <f t="shared" si="87"/>
        <v/>
      </c>
    </row>
    <row r="2772" spans="1:6" hidden="1" x14ac:dyDescent="0.3">
      <c r="A2772" t="s">
        <v>251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9" t="str">
        <f t="shared" si="86"/>
        <v/>
      </c>
      <c r="F2772" t="str">
        <f t="shared" si="87"/>
        <v/>
      </c>
    </row>
    <row r="2773" spans="1:6" hidden="1" x14ac:dyDescent="0.3">
      <c r="A2773" t="s">
        <v>251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9" t="str">
        <f t="shared" si="86"/>
        <v/>
      </c>
      <c r="F2773" t="str">
        <f t="shared" si="87"/>
        <v/>
      </c>
    </row>
    <row r="2774" spans="1:6" hidden="1" x14ac:dyDescent="0.3">
      <c r="A2774" t="s">
        <v>249</v>
      </c>
      <c r="B2774" s="2">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9" t="str">
        <f t="shared" si="86"/>
        <v/>
      </c>
      <c r="F2774" t="str">
        <f t="shared" si="87"/>
        <v/>
      </c>
    </row>
    <row r="2775" spans="1:6" hidden="1" x14ac:dyDescent="0.3">
      <c r="A2775" t="s">
        <v>249</v>
      </c>
      <c r="B2775" s="2">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9" t="str">
        <f t="shared" si="86"/>
        <v/>
      </c>
      <c r="F2775" t="str">
        <f t="shared" si="87"/>
        <v/>
      </c>
    </row>
    <row r="2776" spans="1:6" hidden="1" x14ac:dyDescent="0.3">
      <c r="A2776" t="s">
        <v>249</v>
      </c>
      <c r="B2776" s="2">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9" t="str">
        <f t="shared" si="86"/>
        <v/>
      </c>
      <c r="F2776" t="str">
        <f t="shared" si="87"/>
        <v/>
      </c>
    </row>
    <row r="2777" spans="1:6" hidden="1" x14ac:dyDescent="0.3">
      <c r="A2777" t="s">
        <v>249</v>
      </c>
      <c r="B2777" s="2">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9" t="str">
        <f t="shared" si="86"/>
        <v/>
      </c>
      <c r="F2777" t="str">
        <f t="shared" si="87"/>
        <v/>
      </c>
    </row>
    <row r="2778" spans="1:6" hidden="1" x14ac:dyDescent="0.3">
      <c r="A2778" t="s">
        <v>249</v>
      </c>
      <c r="B2778" s="2">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9" t="str">
        <f t="shared" si="86"/>
        <v/>
      </c>
      <c r="F2778" t="str">
        <f t="shared" si="87"/>
        <v/>
      </c>
    </row>
    <row r="2779" spans="1:6" hidden="1" x14ac:dyDescent="0.3">
      <c r="A2779" t="s">
        <v>249</v>
      </c>
      <c r="B2779" s="2">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9" t="str">
        <f t="shared" si="86"/>
        <v/>
      </c>
      <c r="F2779" t="str">
        <f t="shared" si="87"/>
        <v/>
      </c>
    </row>
    <row r="2780" spans="1:6" hidden="1" x14ac:dyDescent="0.3">
      <c r="A2780" t="s">
        <v>249</v>
      </c>
      <c r="B2780" s="2">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9" t="str">
        <f t="shared" si="86"/>
        <v/>
      </c>
      <c r="F2780" t="str">
        <f t="shared" si="87"/>
        <v/>
      </c>
    </row>
    <row r="2781" spans="1:6" hidden="1" x14ac:dyDescent="0.3">
      <c r="A2781" t="s">
        <v>249</v>
      </c>
      <c r="B2781" s="2">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9" t="str">
        <f t="shared" si="86"/>
        <v/>
      </c>
      <c r="F2781" t="str">
        <f t="shared" si="87"/>
        <v/>
      </c>
    </row>
    <row r="2782" spans="1:6" hidden="1" x14ac:dyDescent="0.3">
      <c r="A2782" t="s">
        <v>249</v>
      </c>
      <c r="B2782" s="2">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9" t="str">
        <f t="shared" si="86"/>
        <v/>
      </c>
      <c r="F2782" t="str">
        <f t="shared" si="87"/>
        <v/>
      </c>
    </row>
    <row r="2783" spans="1:6" hidden="1" x14ac:dyDescent="0.3">
      <c r="A2783" t="s">
        <v>249</v>
      </c>
      <c r="B2783" s="2">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9" t="str">
        <f t="shared" si="86"/>
        <v/>
      </c>
      <c r="F2783" t="str">
        <f t="shared" si="87"/>
        <v/>
      </c>
    </row>
    <row r="2784" spans="1:6" hidden="1" x14ac:dyDescent="0.3">
      <c r="A2784" t="s">
        <v>249</v>
      </c>
      <c r="B2784" s="2">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9" t="str">
        <f t="shared" si="86"/>
        <v/>
      </c>
      <c r="F2784" t="str">
        <f t="shared" si="87"/>
        <v/>
      </c>
    </row>
    <row r="2785" spans="1:6" hidden="1" x14ac:dyDescent="0.3">
      <c r="A2785" t="s">
        <v>249</v>
      </c>
      <c r="B2785" s="2">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9" t="str">
        <f t="shared" si="86"/>
        <v/>
      </c>
      <c r="F2785" t="str">
        <f t="shared" si="87"/>
        <v/>
      </c>
    </row>
    <row r="2786" spans="1:6" hidden="1" x14ac:dyDescent="0.3">
      <c r="A2786" t="s">
        <v>249</v>
      </c>
      <c r="B2786" s="2">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9" t="str">
        <f t="shared" si="86"/>
        <v/>
      </c>
      <c r="F2786" t="str">
        <f t="shared" si="87"/>
        <v/>
      </c>
    </row>
    <row r="2787" spans="1:6" hidden="1" x14ac:dyDescent="0.3">
      <c r="A2787" t="s">
        <v>249</v>
      </c>
      <c r="B2787" s="2">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9" t="str">
        <f t="shared" si="86"/>
        <v/>
      </c>
      <c r="F2787" t="str">
        <f t="shared" si="87"/>
        <v/>
      </c>
    </row>
    <row r="2788" spans="1:6" hidden="1" x14ac:dyDescent="0.3">
      <c r="A2788" t="s">
        <v>249</v>
      </c>
      <c r="B2788" s="2">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9" t="str">
        <f t="shared" si="86"/>
        <v/>
      </c>
      <c r="F2788" t="str">
        <f t="shared" si="87"/>
        <v/>
      </c>
    </row>
    <row r="2789" spans="1:6" hidden="1" x14ac:dyDescent="0.3">
      <c r="A2789" t="s">
        <v>249</v>
      </c>
      <c r="B2789" s="2">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9" t="str">
        <f t="shared" si="86"/>
        <v/>
      </c>
      <c r="F2789" t="str">
        <f t="shared" si="87"/>
        <v/>
      </c>
    </row>
    <row r="2790" spans="1:6" hidden="1" x14ac:dyDescent="0.3">
      <c r="A2790" t="s">
        <v>249</v>
      </c>
      <c r="B2790" s="2">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9" t="str">
        <f t="shared" si="86"/>
        <v/>
      </c>
      <c r="F2790" t="str">
        <f t="shared" si="87"/>
        <v/>
      </c>
    </row>
    <row r="2791" spans="1:6" hidden="1" x14ac:dyDescent="0.3">
      <c r="A2791" t="s">
        <v>249</v>
      </c>
      <c r="B2791" s="2">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9" t="str">
        <f t="shared" si="86"/>
        <v/>
      </c>
      <c r="F2791" t="str">
        <f t="shared" si="87"/>
        <v/>
      </c>
    </row>
    <row r="2792" spans="1:6" hidden="1" x14ac:dyDescent="0.3">
      <c r="A2792" t="s">
        <v>249</v>
      </c>
      <c r="B2792" s="2">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9" t="str">
        <f t="shared" si="86"/>
        <v/>
      </c>
      <c r="F2792" t="str">
        <f t="shared" si="87"/>
        <v/>
      </c>
    </row>
    <row r="2793" spans="1:6" hidden="1" x14ac:dyDescent="0.3">
      <c r="A2793" t="s">
        <v>249</v>
      </c>
      <c r="B2793" s="2">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9" t="str">
        <f t="shared" si="86"/>
        <v/>
      </c>
      <c r="F2793" t="str">
        <f t="shared" si="87"/>
        <v/>
      </c>
    </row>
    <row r="2794" spans="1:6" hidden="1" x14ac:dyDescent="0.3">
      <c r="A2794" t="s">
        <v>249</v>
      </c>
      <c r="B2794" s="2">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9" t="str">
        <f t="shared" si="86"/>
        <v/>
      </c>
      <c r="F2794" t="str">
        <f t="shared" si="87"/>
        <v/>
      </c>
    </row>
    <row r="2795" spans="1:6" hidden="1" x14ac:dyDescent="0.3">
      <c r="A2795" t="s">
        <v>249</v>
      </c>
      <c r="B2795" s="2">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9" t="str">
        <f t="shared" si="86"/>
        <v/>
      </c>
      <c r="F2795" t="str">
        <f t="shared" si="87"/>
        <v/>
      </c>
    </row>
    <row r="2796" spans="1:6" hidden="1" x14ac:dyDescent="0.3">
      <c r="A2796" t="s">
        <v>249</v>
      </c>
      <c r="B2796" s="2">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9" t="str">
        <f t="shared" si="86"/>
        <v/>
      </c>
      <c r="F2796" t="str">
        <f t="shared" si="87"/>
        <v/>
      </c>
    </row>
    <row r="2797" spans="1:6" hidden="1" x14ac:dyDescent="0.3">
      <c r="A2797" t="s">
        <v>249</v>
      </c>
      <c r="B2797" s="2">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9" t="str">
        <f t="shared" si="86"/>
        <v/>
      </c>
      <c r="F2797" t="str">
        <f t="shared" si="87"/>
        <v/>
      </c>
    </row>
    <row r="2798" spans="1:6" hidden="1" x14ac:dyDescent="0.3">
      <c r="A2798" t="s">
        <v>249</v>
      </c>
      <c r="B2798" s="2">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9" t="str">
        <f t="shared" si="86"/>
        <v/>
      </c>
      <c r="F2798" t="str">
        <f t="shared" si="87"/>
        <v/>
      </c>
    </row>
    <row r="2799" spans="1:6" hidden="1" x14ac:dyDescent="0.3">
      <c r="A2799" t="s">
        <v>249</v>
      </c>
      <c r="B2799" s="2">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9" t="str">
        <f t="shared" si="86"/>
        <v/>
      </c>
      <c r="F2799" t="str">
        <f t="shared" si="87"/>
        <v/>
      </c>
    </row>
    <row r="2800" spans="1:6" hidden="1" x14ac:dyDescent="0.3">
      <c r="A2800" t="s">
        <v>249</v>
      </c>
      <c r="B2800" s="2">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9" t="str">
        <f t="shared" si="86"/>
        <v/>
      </c>
      <c r="F2800" t="str">
        <f t="shared" si="87"/>
        <v/>
      </c>
    </row>
    <row r="2801" spans="1:6" hidden="1" x14ac:dyDescent="0.3">
      <c r="A2801" t="s">
        <v>249</v>
      </c>
      <c r="B2801" s="2">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9" t="str">
        <f t="shared" si="86"/>
        <v/>
      </c>
      <c r="F2801" t="str">
        <f t="shared" si="87"/>
        <v/>
      </c>
    </row>
    <row r="2802" spans="1:6" hidden="1" x14ac:dyDescent="0.3">
      <c r="A2802" t="s">
        <v>249</v>
      </c>
      <c r="B2802" s="2">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9" t="str">
        <f t="shared" si="86"/>
        <v/>
      </c>
      <c r="F2802" t="str">
        <f t="shared" si="87"/>
        <v/>
      </c>
    </row>
    <row r="2803" spans="1:6" hidden="1" x14ac:dyDescent="0.3">
      <c r="A2803" t="s">
        <v>249</v>
      </c>
      <c r="B2803" s="2">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9" t="str">
        <f t="shared" si="86"/>
        <v/>
      </c>
      <c r="F2803" t="str">
        <f t="shared" si="87"/>
        <v/>
      </c>
    </row>
    <row r="2804" spans="1:6" hidden="1" x14ac:dyDescent="0.3">
      <c r="A2804" t="s">
        <v>249</v>
      </c>
      <c r="B2804" s="2">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9" t="str">
        <f t="shared" si="86"/>
        <v/>
      </c>
      <c r="F2804" t="str">
        <f t="shared" si="87"/>
        <v/>
      </c>
    </row>
    <row r="2805" spans="1:6" hidden="1" x14ac:dyDescent="0.3">
      <c r="A2805" t="s">
        <v>249</v>
      </c>
      <c r="B2805" s="2">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9" t="str">
        <f t="shared" si="86"/>
        <v/>
      </c>
      <c r="F2805" t="str">
        <f t="shared" si="87"/>
        <v/>
      </c>
    </row>
    <row r="2806" spans="1:6" hidden="1" x14ac:dyDescent="0.3">
      <c r="A2806" t="s">
        <v>249</v>
      </c>
      <c r="B2806" s="2">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9" t="str">
        <f t="shared" si="86"/>
        <v/>
      </c>
      <c r="F2806" t="str">
        <f t="shared" si="87"/>
        <v/>
      </c>
    </row>
    <row r="2807" spans="1:6" hidden="1" x14ac:dyDescent="0.3">
      <c r="A2807" t="s">
        <v>249</v>
      </c>
      <c r="B2807" s="2">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9" t="str">
        <f t="shared" si="86"/>
        <v/>
      </c>
      <c r="F2807" t="str">
        <f t="shared" si="87"/>
        <v/>
      </c>
    </row>
    <row r="2808" spans="1:6" hidden="1" x14ac:dyDescent="0.3">
      <c r="A2808" t="s">
        <v>249</v>
      </c>
      <c r="B2808" s="2">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9" t="str">
        <f t="shared" si="86"/>
        <v/>
      </c>
      <c r="F2808" t="str">
        <f t="shared" si="87"/>
        <v/>
      </c>
    </row>
    <row r="2809" spans="1:6" hidden="1" x14ac:dyDescent="0.3">
      <c r="A2809" t="s">
        <v>249</v>
      </c>
      <c r="B2809" s="2">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9"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801</v>
      </c>
    </row>
    <row r="2" spans="1:1" x14ac:dyDescent="0.3">
      <c r="A2" t="s">
        <v>802</v>
      </c>
    </row>
    <row r="3" spans="1:1" x14ac:dyDescent="0.3">
      <c r="A3" t="s">
        <v>803</v>
      </c>
    </row>
    <row r="4" spans="1:1" x14ac:dyDescent="0.3">
      <c r="A4" t="s">
        <v>804</v>
      </c>
    </row>
    <row r="5" spans="1:1" x14ac:dyDescent="0.3">
      <c r="A5" t="s">
        <v>805</v>
      </c>
    </row>
    <row r="6" spans="1:1" x14ac:dyDescent="0.3">
      <c r="A6" t="s">
        <v>806</v>
      </c>
    </row>
    <row r="7" spans="1:1" x14ac:dyDescent="0.3">
      <c r="A7" t="s">
        <v>807</v>
      </c>
    </row>
    <row r="8" spans="1:1" x14ac:dyDescent="0.3">
      <c r="A8" t="s">
        <v>808</v>
      </c>
    </row>
    <row r="9" spans="1:1" x14ac:dyDescent="0.3">
      <c r="A9" t="s">
        <v>809</v>
      </c>
    </row>
    <row r="10" spans="1:1" x14ac:dyDescent="0.3">
      <c r="A10" t="s">
        <v>810</v>
      </c>
    </row>
    <row r="11" spans="1:1" x14ac:dyDescent="0.3">
      <c r="A11" t="s">
        <v>811</v>
      </c>
    </row>
    <row r="12" spans="1:1" x14ac:dyDescent="0.3">
      <c r="A12" t="s">
        <v>812</v>
      </c>
    </row>
    <row r="13" spans="1:1" x14ac:dyDescent="0.3">
      <c r="A13" t="s">
        <v>813</v>
      </c>
    </row>
    <row r="14" spans="1:1" x14ac:dyDescent="0.3">
      <c r="A14" t="s">
        <v>814</v>
      </c>
    </row>
    <row r="15" spans="1:1" x14ac:dyDescent="0.3">
      <c r="A15" t="s">
        <v>815</v>
      </c>
    </row>
    <row r="16" spans="1:1" x14ac:dyDescent="0.3">
      <c r="A16" t="s">
        <v>816</v>
      </c>
    </row>
    <row r="17" spans="1:1" x14ac:dyDescent="0.3">
      <c r="A17" t="s">
        <v>817</v>
      </c>
    </row>
    <row r="18" spans="1:1" x14ac:dyDescent="0.3">
      <c r="A18" t="s">
        <v>818</v>
      </c>
    </row>
    <row r="19" spans="1:1" x14ac:dyDescent="0.3">
      <c r="A19" t="s">
        <v>819</v>
      </c>
    </row>
    <row r="20" spans="1:1" x14ac:dyDescent="0.3">
      <c r="A20" t="s">
        <v>820</v>
      </c>
    </row>
    <row r="21" spans="1:1" x14ac:dyDescent="0.3">
      <c r="A21" t="s">
        <v>821</v>
      </c>
    </row>
    <row r="22" spans="1:1" x14ac:dyDescent="0.3">
      <c r="A22" t="s">
        <v>822</v>
      </c>
    </row>
    <row r="23" spans="1:1" x14ac:dyDescent="0.3">
      <c r="A23" t="s">
        <v>823</v>
      </c>
    </row>
    <row r="24" spans="1:1" x14ac:dyDescent="0.3">
      <c r="A24" t="s">
        <v>824</v>
      </c>
    </row>
    <row r="25" spans="1:1" x14ac:dyDescent="0.3">
      <c r="A25" t="s">
        <v>825</v>
      </c>
    </row>
    <row r="26" spans="1:1" x14ac:dyDescent="0.3">
      <c r="A26" t="s">
        <v>826</v>
      </c>
    </row>
    <row r="27" spans="1:1" x14ac:dyDescent="0.3">
      <c r="A27" t="s">
        <v>827</v>
      </c>
    </row>
    <row r="28" spans="1:1" x14ac:dyDescent="0.3">
      <c r="A28" t="s">
        <v>828</v>
      </c>
    </row>
    <row r="29" spans="1:1" x14ac:dyDescent="0.3">
      <c r="A29" t="s">
        <v>829</v>
      </c>
    </row>
    <row r="30" spans="1:1" x14ac:dyDescent="0.3">
      <c r="A30" t="s">
        <v>830</v>
      </c>
    </row>
    <row r="31" spans="1:1" x14ac:dyDescent="0.3">
      <c r="A31" t="s">
        <v>831</v>
      </c>
    </row>
    <row r="32" spans="1:1" x14ac:dyDescent="0.3">
      <c r="A32" t="s">
        <v>832</v>
      </c>
    </row>
    <row r="33" spans="1:1" x14ac:dyDescent="0.3">
      <c r="A33" t="s">
        <v>833</v>
      </c>
    </row>
    <row r="34" spans="1:1" x14ac:dyDescent="0.3">
      <c r="A34" t="s">
        <v>834</v>
      </c>
    </row>
    <row r="35" spans="1:1" x14ac:dyDescent="0.3">
      <c r="A35" t="s">
        <v>835</v>
      </c>
    </row>
    <row r="36" spans="1:1" x14ac:dyDescent="0.3">
      <c r="A36" t="s">
        <v>836</v>
      </c>
    </row>
    <row r="37" spans="1:1" x14ac:dyDescent="0.3">
      <c r="A37" t="s">
        <v>837</v>
      </c>
    </row>
    <row r="38" spans="1:1" x14ac:dyDescent="0.3">
      <c r="A38" t="s">
        <v>838</v>
      </c>
    </row>
    <row r="39" spans="1:1" x14ac:dyDescent="0.3">
      <c r="A39" t="s">
        <v>839</v>
      </c>
    </row>
    <row r="40" spans="1:1" x14ac:dyDescent="0.3">
      <c r="A40" t="s">
        <v>840</v>
      </c>
    </row>
    <row r="41" spans="1:1" x14ac:dyDescent="0.3">
      <c r="A41" t="s">
        <v>841</v>
      </c>
    </row>
    <row r="42" spans="1:1" x14ac:dyDescent="0.3">
      <c r="A42" t="s">
        <v>842</v>
      </c>
    </row>
    <row r="43" spans="1:1" x14ac:dyDescent="0.3">
      <c r="A43" t="s">
        <v>843</v>
      </c>
    </row>
    <row r="44" spans="1:1" x14ac:dyDescent="0.3">
      <c r="A44" t="s">
        <v>844</v>
      </c>
    </row>
    <row r="45" spans="1:1" x14ac:dyDescent="0.3">
      <c r="A45" t="s">
        <v>845</v>
      </c>
    </row>
    <row r="46" spans="1:1" x14ac:dyDescent="0.3">
      <c r="A46" t="s">
        <v>23</v>
      </c>
    </row>
    <row r="47" spans="1:1" x14ac:dyDescent="0.3">
      <c r="A47" t="s">
        <v>846</v>
      </c>
    </row>
    <row r="48" spans="1:1" x14ac:dyDescent="0.3">
      <c r="A48" t="s">
        <v>847</v>
      </c>
    </row>
    <row r="49" spans="1:1" x14ac:dyDescent="0.3">
      <c r="A49" t="s">
        <v>848</v>
      </c>
    </row>
    <row r="50" spans="1:1" x14ac:dyDescent="0.3">
      <c r="A50" t="s">
        <v>849</v>
      </c>
    </row>
    <row r="51" spans="1:1" x14ac:dyDescent="0.3">
      <c r="A51" t="s">
        <v>850</v>
      </c>
    </row>
    <row r="52" spans="1:1" x14ac:dyDescent="0.3">
      <c r="A52" t="s">
        <v>851</v>
      </c>
    </row>
    <row r="53" spans="1:1" x14ac:dyDescent="0.3">
      <c r="A53" t="s">
        <v>245</v>
      </c>
    </row>
    <row r="54" spans="1:1" x14ac:dyDescent="0.3">
      <c r="A54" t="s">
        <v>852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2026-07-15T10:47:53Z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