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423" documentId="13_ncr:1_{8CCFD1E3-719E-4C10-96BD-950107C648A6}" xr6:coauthVersionLast="47" xr6:coauthVersionMax="47" xr10:uidLastSave="{AB0A2ACC-0055-4A1C-BC8A-065039984DAB}"/>
  <bookViews>
    <workbookView xWindow="30" yWindow="-16320" windowWidth="29040" windowHeight="15720" tabRatio="74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82" i="1"/>
  <c r="C571" i="9" a="1"/>
  <c r="C571" i="9" s="1"/>
  <c r="W5" i="1"/>
  <c r="W79" i="1"/>
  <c r="W78" i="1"/>
  <c r="D24" i="12" s="1" a="1"/>
  <c r="D24" i="12" s="1"/>
  <c r="W77" i="1"/>
  <c r="D23" i="12" s="1" a="1"/>
  <c r="D23" i="12" s="1"/>
  <c r="W76" i="1"/>
  <c r="W75" i="1"/>
  <c r="W74" i="1"/>
  <c r="D22" i="12" s="1" a="1"/>
  <c r="D22" i="12" s="1"/>
  <c r="G22" i="12" s="1"/>
  <c r="W73" i="1"/>
  <c r="W72" i="1"/>
  <c r="W71" i="1"/>
  <c r="W70" i="1"/>
  <c r="W69" i="1"/>
  <c r="D21" i="12" s="1" a="1"/>
  <c r="D21" i="12" s="1"/>
  <c r="W68" i="1"/>
  <c r="D20" i="12" s="1" a="1"/>
  <c r="D20" i="12" s="1"/>
  <c r="W67" i="1"/>
  <c r="D19" i="12" s="1" a="1"/>
  <c r="D19" i="12" s="1"/>
  <c r="G19" i="12" s="1"/>
  <c r="W66" i="1"/>
  <c r="D18" i="12" s="1" a="1"/>
  <c r="D18" i="12" s="1"/>
  <c r="W65" i="1"/>
  <c r="W64" i="1"/>
  <c r="W63" i="1"/>
  <c r="D16" i="12" s="1" a="1"/>
  <c r="D16" i="12" s="1"/>
  <c r="G16" i="12" s="1"/>
  <c r="W62" i="1"/>
  <c r="W61" i="1"/>
  <c r="W60" i="1"/>
  <c r="W59" i="1"/>
  <c r="D15" i="12" s="1" a="1"/>
  <c r="D15" i="12" s="1"/>
  <c r="W58" i="1"/>
  <c r="W57" i="1"/>
  <c r="W56" i="1"/>
  <c r="W55" i="1"/>
  <c r="D14" i="12" s="1" a="1"/>
  <c r="D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W33" i="1"/>
  <c r="W32" i="1"/>
  <c r="W31" i="1"/>
  <c r="W30" i="1"/>
  <c r="W29" i="1"/>
  <c r="W28" i="1"/>
  <c r="W27" i="1"/>
  <c r="W26" i="1"/>
  <c r="W25" i="1"/>
  <c r="D7" i="12" s="1" a="1"/>
  <c r="D7" i="12" s="1"/>
  <c r="W24" i="1"/>
  <c r="W23" i="1"/>
  <c r="W22" i="1"/>
  <c r="D6" i="12" s="1" a="1"/>
  <c r="D6" i="12" s="1"/>
  <c r="G6" i="12" s="1"/>
  <c r="W21" i="1"/>
  <c r="D5" i="12" s="1" a="1"/>
  <c r="D5" i="12" s="1"/>
  <c r="G5" i="12" s="1"/>
  <c r="W20" i="1"/>
  <c r="W19" i="1"/>
  <c r="W18" i="1"/>
  <c r="W17" i="1"/>
  <c r="W16" i="1"/>
  <c r="W15" i="1"/>
  <c r="W14" i="1"/>
  <c r="D3" i="12" s="1" a="1"/>
  <c r="D3" i="12" s="1"/>
  <c r="G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60" i="1"/>
  <c r="C59" i="1"/>
  <c r="C56" i="1"/>
  <c r="C40" i="1"/>
  <c r="C36" i="1"/>
  <c r="C34" i="1"/>
  <c r="C32" i="1"/>
  <c r="C31" i="1"/>
  <c r="C29" i="1"/>
  <c r="C26" i="1"/>
  <c r="C71" i="1"/>
  <c r="C18" i="1"/>
  <c r="C14" i="1"/>
  <c r="C6" i="1"/>
  <c r="C5" i="1"/>
  <c r="C4"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<sst xmlns="http://schemas.openxmlformats.org/spreadsheetml/2006/main" count="14618" uniqueCount="1066">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</sst>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5">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2" totalsRowShown="0">
  <autoFilter ref="A1:Y82" xr:uid="{00000000-000C-0000-FFFF-FFFF00000000}"/>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8" totalsRowShown="0">
  <autoFilter ref="A1:C2708" xr:uid="{00000000-0009-0000-0100-000006000000}">
    <filterColumn colId="1">
      <filters>
        <dateGroupItem year="2026" month="7"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tabSelected="1" zoomScale="98" zoomScaleNormal="98" workbookViewId="0">
      <pane xSplit="1" ySplit="1" topLeftCell="J58" activePane="bottomRight" state="frozen"/>
      <selection pane="topRight" activeCell="B1" sqref="B1"/>
      <selection pane="bottomLeft" activeCell="A2" sqref="A2"/>
      <selection pane="bottomRight" activeCell="O87" sqref="O87"/>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874</v>
      </c>
      <c r="W2" s="20" t="str">
        <f t="shared" ref="W2:W65" ca="1" si="0">IF(ISNUMBER(S2),(TODAY()-S2)/365.25,"")</f>
        <v/>
      </c>
      <c r="X2" t="s">
        <v>1008</v>
      </c>
      <c r="Y2" t="s">
        <v>1008</v>
      </c>
    </row>
    <row r="3" spans="1:25"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874</v>
      </c>
      <c r="W3" s="20">
        <f t="shared" ca="1" si="0"/>
        <v>2.9623545516769334</v>
      </c>
      <c r="X3" t="s">
        <v>1000</v>
      </c>
      <c r="Y3" t="s">
        <v>1000</v>
      </c>
    </row>
    <row r="4" spans="1:25" ht="14.25"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874</v>
      </c>
      <c r="W4" s="20" t="str">
        <f t="shared" ca="1" si="0"/>
        <v/>
      </c>
      <c r="X4" t="s">
        <v>1009</v>
      </c>
      <c r="Y4" t="s">
        <v>1000</v>
      </c>
    </row>
    <row r="5" spans="1:25"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875</v>
      </c>
      <c r="W5" s="20">
        <f ca="1">IF(ISNUMBER(S5),(TODAY()-S5)/365.25,"")</f>
        <v>1.6290212183436004</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874</v>
      </c>
      <c r="W6" s="20" t="str">
        <f t="shared" ca="1" si="0"/>
        <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874</v>
      </c>
      <c r="W7" s="20" t="str">
        <f t="shared" ca="1" si="0"/>
        <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871</v>
      </c>
      <c r="U8" s="1" t="s">
        <v>22</v>
      </c>
      <c r="V8" t="s">
        <v>874</v>
      </c>
      <c r="W8" s="20" t="str">
        <f t="shared" ca="1" si="0"/>
        <v/>
      </c>
      <c r="X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874</v>
      </c>
      <c r="W9" s="20" t="str">
        <f t="shared" ca="1" si="0"/>
        <v/>
      </c>
      <c r="X9" t="s">
        <v>1000</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874</v>
      </c>
      <c r="W10" s="20">
        <f t="shared" ca="1" si="0"/>
        <v>2.2039698836413417</v>
      </c>
      <c r="X10" t="s">
        <v>1000</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874</v>
      </c>
      <c r="W11" s="20" t="str">
        <f t="shared" ca="1" si="0"/>
        <v/>
      </c>
      <c r="X11" t="s">
        <v>1000</v>
      </c>
    </row>
    <row r="12" spans="1:25" ht="14.25"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874</v>
      </c>
      <c r="W12" s="20">
        <f t="shared" ca="1" si="0"/>
        <v>1.1279945242984257</v>
      </c>
      <c r="X12" t="s">
        <v>1000</v>
      </c>
    </row>
    <row r="13" spans="1:25" ht="14.25"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874</v>
      </c>
      <c r="W13" s="20">
        <f t="shared" ca="1" si="0"/>
        <v>0.12867898699520877</v>
      </c>
      <c r="X13" t="s">
        <v>1000</v>
      </c>
    </row>
    <row r="14" spans="1:25"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875</v>
      </c>
      <c r="W14" s="20">
        <f t="shared" ca="1" si="0"/>
        <v>2.5598904859685145</v>
      </c>
      <c r="X14" t="s">
        <v>1000</v>
      </c>
    </row>
    <row r="15" spans="1:25" ht="14.25"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874</v>
      </c>
      <c r="W15" s="20" t="str">
        <f t="shared" ca="1" si="0"/>
        <v/>
      </c>
      <c r="X15" t="s">
        <v>1000</v>
      </c>
    </row>
    <row r="16" spans="1:25" ht="14.25"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874</v>
      </c>
      <c r="W16" s="20" t="str">
        <f t="shared" ca="1" si="0"/>
        <v/>
      </c>
      <c r="X16" t="s">
        <v>1000</v>
      </c>
    </row>
    <row r="17" spans="1:24" ht="14.25"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871</v>
      </c>
      <c r="U17" s="1" t="s">
        <v>22</v>
      </c>
      <c r="V17" t="s">
        <v>874</v>
      </c>
      <c r="W17" s="20" t="str">
        <f t="shared" ca="1" si="0"/>
        <v/>
      </c>
      <c r="X17" t="s">
        <v>1000</v>
      </c>
    </row>
    <row r="18" spans="1:24"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875</v>
      </c>
      <c r="W18" s="20">
        <f t="shared" ca="1" si="0"/>
        <v>3.3018480492813143</v>
      </c>
      <c r="X18" t="s">
        <v>1000</v>
      </c>
    </row>
    <row r="19" spans="1:24" ht="14.25"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874</v>
      </c>
      <c r="W19" s="20" t="str">
        <f t="shared" ca="1" si="0"/>
        <v/>
      </c>
      <c r="X19" t="s">
        <v>1000</v>
      </c>
    </row>
    <row r="20" spans="1:24" ht="14.25"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874</v>
      </c>
      <c r="W20" s="20" t="str">
        <f t="shared" ca="1" si="0"/>
        <v/>
      </c>
      <c r="X20" t="s">
        <v>1000</v>
      </c>
    </row>
    <row r="21" spans="1:24"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875</v>
      </c>
      <c r="W21" s="20">
        <f t="shared" ca="1" si="0"/>
        <v>3.2334017796030117</v>
      </c>
      <c r="X21" t="s">
        <v>1000</v>
      </c>
    </row>
    <row r="22" spans="1:24"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875</v>
      </c>
      <c r="W22" s="20">
        <f t="shared" ca="1" si="0"/>
        <v>3.2334017796030117</v>
      </c>
      <c r="X22" t="s">
        <v>1000</v>
      </c>
    </row>
    <row r="23" spans="1:24" ht="14.25"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874</v>
      </c>
      <c r="W23" s="20" t="str">
        <f t="shared" ca="1" si="0"/>
        <v/>
      </c>
      <c r="X23" t="s">
        <v>1000</v>
      </c>
    </row>
    <row r="24" spans="1:24" ht="14.25"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874</v>
      </c>
      <c r="W24" s="20" t="str">
        <f t="shared" ca="1" si="0"/>
        <v/>
      </c>
      <c r="X24" t="s">
        <v>1000</v>
      </c>
    </row>
    <row r="25" spans="1:24"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875</v>
      </c>
      <c r="W25" s="20">
        <f t="shared" ca="1" si="0"/>
        <v>2.9514031485284051</v>
      </c>
      <c r="X25" t="s">
        <v>1000</v>
      </c>
    </row>
    <row r="26" spans="1:24"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875</v>
      </c>
      <c r="W26" s="20">
        <f t="shared" ca="1" si="0"/>
        <v>2.1629021218343598</v>
      </c>
      <c r="X26" t="s">
        <v>1000</v>
      </c>
    </row>
    <row r="27" spans="1:24" ht="14.25"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874</v>
      </c>
      <c r="W27" s="20" t="str">
        <f t="shared" ca="1" si="0"/>
        <v/>
      </c>
      <c r="X27" t="s">
        <v>1000</v>
      </c>
    </row>
    <row r="28" spans="1:24" ht="14.25"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874</v>
      </c>
      <c r="W28" s="20" t="str">
        <f t="shared" ca="1" si="0"/>
        <v/>
      </c>
      <c r="X28" t="s">
        <v>1001</v>
      </c>
    </row>
    <row r="29" spans="1:24" ht="14.25"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4.3559206023271733</v>
      </c>
      <c r="X29" t="s">
        <v>1000</v>
      </c>
    </row>
    <row r="30" spans="1:24"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875</v>
      </c>
      <c r="W30" s="20">
        <f t="shared" ca="1" si="0"/>
        <v>2.4668035592060233</v>
      </c>
      <c r="X30" t="s">
        <v>1000</v>
      </c>
    </row>
    <row r="31" spans="1:24"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875</v>
      </c>
      <c r="W31" s="20">
        <f t="shared" ca="1" si="0"/>
        <v>3.5318275154004106</v>
      </c>
      <c r="X31" t="s">
        <v>1000</v>
      </c>
    </row>
    <row r="32" spans="1:24" ht="14.25"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874</v>
      </c>
      <c r="W32" s="20" t="str">
        <f t="shared" ca="1" si="0"/>
        <v/>
      </c>
      <c r="X32" t="s">
        <v>1000</v>
      </c>
    </row>
    <row r="33" spans="1:24" ht="14.25"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874</v>
      </c>
      <c r="W33" s="20" t="str">
        <f t="shared" ca="1" si="0"/>
        <v/>
      </c>
      <c r="X33" t="s">
        <v>1000</v>
      </c>
    </row>
    <row r="34" spans="1:24"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875</v>
      </c>
      <c r="W34" s="20">
        <f t="shared" ca="1" si="0"/>
        <v>2.9541409993155372</v>
      </c>
      <c r="X34" t="s">
        <v>1000</v>
      </c>
    </row>
    <row r="35" spans="1:24" ht="15"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874</v>
      </c>
      <c r="W35" s="20" t="str">
        <f t="shared" ca="1" si="0"/>
        <v/>
      </c>
      <c r="X35" s="22" t="s">
        <v>1000</v>
      </c>
    </row>
    <row r="36" spans="1:24"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875</v>
      </c>
      <c r="W36" s="20">
        <f t="shared" ca="1" si="0"/>
        <v>4.2847364818617386</v>
      </c>
      <c r="X36" t="s">
        <v>1000</v>
      </c>
    </row>
    <row r="37" spans="1:24" ht="14.25"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874</v>
      </c>
      <c r="W37" s="20" t="str">
        <f t="shared" ca="1" si="0"/>
        <v/>
      </c>
      <c r="X37" t="s">
        <v>1000</v>
      </c>
    </row>
    <row r="38" spans="1:24" ht="14.25"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874</v>
      </c>
      <c r="W38" s="20" t="str">
        <f t="shared" ca="1" si="0"/>
        <v/>
      </c>
      <c r="X38" t="s">
        <v>1000</v>
      </c>
    </row>
    <row r="39" spans="1:24" ht="14.25"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874</v>
      </c>
      <c r="W39" s="20" t="str">
        <f t="shared" ca="1" si="0"/>
        <v/>
      </c>
      <c r="X39" t="s">
        <v>1000</v>
      </c>
    </row>
    <row r="40" spans="1:24"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875</v>
      </c>
      <c r="W40" s="20">
        <f t="shared" ca="1" si="0"/>
        <v>2.7049965776865159</v>
      </c>
      <c r="X40" t="s">
        <v>1000</v>
      </c>
    </row>
    <row r="41" spans="1:24" ht="14.25"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874</v>
      </c>
      <c r="W41" s="20" t="str">
        <f t="shared" ca="1" si="0"/>
        <v/>
      </c>
      <c r="X41" t="s">
        <v>1000</v>
      </c>
    </row>
    <row r="42" spans="1:24" ht="14.25"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874</v>
      </c>
      <c r="W42" s="20" t="str">
        <f t="shared" ca="1" si="0"/>
        <v/>
      </c>
      <c r="X42" t="s">
        <v>1000</v>
      </c>
    </row>
    <row r="43" spans="1:24" ht="14.25"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874</v>
      </c>
      <c r="W43" s="20" t="str">
        <f t="shared" ca="1" si="0"/>
        <v/>
      </c>
      <c r="X43" t="s">
        <v>1000</v>
      </c>
    </row>
    <row r="44" spans="1:24" ht="14.25"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874</v>
      </c>
      <c r="W44" s="20" t="str">
        <f t="shared" ca="1" si="0"/>
        <v/>
      </c>
      <c r="X44" t="s">
        <v>1000</v>
      </c>
    </row>
    <row r="45" spans="1:24" ht="14.25"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874</v>
      </c>
      <c r="W45" s="20" t="str">
        <f t="shared" ca="1" si="0"/>
        <v/>
      </c>
      <c r="X45" t="s">
        <v>1000</v>
      </c>
    </row>
    <row r="46" spans="1:24" ht="14.25"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874</v>
      </c>
      <c r="W46" s="20" t="str">
        <f t="shared" ca="1" si="0"/>
        <v/>
      </c>
      <c r="X46" t="s">
        <v>1000</v>
      </c>
    </row>
    <row r="47" spans="1:24" ht="14.25"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874</v>
      </c>
      <c r="W47" s="20" t="str">
        <f t="shared" ca="1" si="0"/>
        <v/>
      </c>
      <c r="X47" t="s">
        <v>1000</v>
      </c>
    </row>
    <row r="48" spans="1:24" ht="14.25"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874</v>
      </c>
      <c r="W48" s="20" t="str">
        <f t="shared" ca="1" si="0"/>
        <v/>
      </c>
      <c r="X48" t="s">
        <v>1000</v>
      </c>
    </row>
    <row r="49" spans="1:25" ht="14.25"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874</v>
      </c>
      <c r="W49" s="20" t="str">
        <f t="shared" ca="1" si="0"/>
        <v/>
      </c>
      <c r="X49" t="s">
        <v>1000</v>
      </c>
      <c r="Y49" t="s">
        <v>1001</v>
      </c>
    </row>
    <row r="50" spans="1:25" ht="14.25"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874</v>
      </c>
      <c r="W50" s="20" t="str">
        <f t="shared" ca="1" si="0"/>
        <v/>
      </c>
      <c r="X50" t="s">
        <v>1000</v>
      </c>
    </row>
    <row r="51" spans="1:25" ht="14.25"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874</v>
      </c>
      <c r="W51" s="20" t="str">
        <f t="shared" ca="1" si="0"/>
        <v/>
      </c>
      <c r="X51" t="s">
        <v>1000</v>
      </c>
    </row>
    <row r="52" spans="1:25" ht="14.25"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874</v>
      </c>
      <c r="W52" s="20" t="str">
        <f t="shared" ca="1" si="0"/>
        <v/>
      </c>
      <c r="X52" t="s">
        <v>1000</v>
      </c>
    </row>
    <row r="53" spans="1:25" ht="14.25"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874</v>
      </c>
      <c r="W53" s="20" t="str">
        <f t="shared" ca="1" si="0"/>
        <v/>
      </c>
      <c r="X53" t="s">
        <v>1000</v>
      </c>
    </row>
    <row r="54" spans="1:25" ht="14.25"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874</v>
      </c>
      <c r="W54" s="20" t="str">
        <f t="shared" ca="1" si="0"/>
        <v/>
      </c>
      <c r="X54" t="s">
        <v>1000</v>
      </c>
    </row>
    <row r="55" spans="1:25"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875</v>
      </c>
      <c r="W55" s="20">
        <f t="shared" ca="1" si="0"/>
        <v>3.0828199863107462</v>
      </c>
      <c r="X55" t="s">
        <v>1000</v>
      </c>
    </row>
    <row r="56" spans="1:25" ht="14.25"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874</v>
      </c>
      <c r="W56" s="20" t="str">
        <f t="shared" ca="1" si="0"/>
        <v/>
      </c>
      <c r="X56" t="s">
        <v>1000</v>
      </c>
    </row>
    <row r="57" spans="1:25" ht="14.25"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874</v>
      </c>
      <c r="W57" s="20" t="str">
        <f t="shared" ca="1" si="0"/>
        <v/>
      </c>
      <c r="X57" t="s">
        <v>1000</v>
      </c>
    </row>
    <row r="58" spans="1:25" ht="14.25"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874</v>
      </c>
      <c r="W58" s="20" t="str">
        <f t="shared" ca="1" si="0"/>
        <v/>
      </c>
      <c r="X58" t="s">
        <v>1000</v>
      </c>
    </row>
    <row r="59" spans="1:25"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875</v>
      </c>
      <c r="W59" s="20">
        <f t="shared" ca="1" si="0"/>
        <v>2.9514031485284051</v>
      </c>
      <c r="X59" t="s">
        <v>1000</v>
      </c>
    </row>
    <row r="60" spans="1:25" ht="14.25"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874</v>
      </c>
      <c r="W60" s="20" t="str">
        <f t="shared" ca="1" si="0"/>
        <v/>
      </c>
      <c r="X60" t="s">
        <v>1000</v>
      </c>
    </row>
    <row r="61" spans="1:25" ht="14.25"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874</v>
      </c>
      <c r="W61" s="20">
        <f t="shared" ca="1" si="0"/>
        <v>1.3716632443531827</v>
      </c>
      <c r="X61" t="s">
        <v>1009</v>
      </c>
    </row>
    <row r="62" spans="1:25" ht="14.25"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874</v>
      </c>
      <c r="W62" s="20" t="str">
        <f t="shared" ca="1" si="0"/>
        <v/>
      </c>
      <c r="X62" t="s">
        <v>1000</v>
      </c>
    </row>
    <row r="63" spans="1:25"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875</v>
      </c>
      <c r="W63" s="20">
        <f t="shared" ca="1" si="0"/>
        <v>2.9952087611225187</v>
      </c>
      <c r="X63" t="s">
        <v>1001</v>
      </c>
    </row>
    <row r="64" spans="1:25" ht="14.25"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874</v>
      </c>
      <c r="W64" s="20" t="str">
        <f t="shared" ca="1" si="0"/>
        <v/>
      </c>
      <c r="X64" t="s">
        <v>1001</v>
      </c>
    </row>
    <row r="65" spans="1:24"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875</v>
      </c>
      <c r="W65" s="20">
        <f t="shared" ca="1" si="0"/>
        <v>2.9952087611225187</v>
      </c>
      <c r="X65" t="s">
        <v>1001</v>
      </c>
    </row>
    <row r="66" spans="1:24"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875</v>
      </c>
      <c r="W66" s="20">
        <f t="shared" ref="W66:W79" ca="1" si="1">IF(ISNUMBER(S66),(TODAY()-S66)/365.25,"")</f>
        <v>0.90075290896646132</v>
      </c>
      <c r="X66" t="s">
        <v>1001</v>
      </c>
    </row>
    <row r="67" spans="1:24"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875</v>
      </c>
      <c r="W67" s="20">
        <f t="shared" ca="1" si="1"/>
        <v>0.90075290896646132</v>
      </c>
      <c r="X67" t="s">
        <v>1001</v>
      </c>
    </row>
    <row r="68" spans="1:24"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875</v>
      </c>
      <c r="W68" s="20">
        <f t="shared" ca="1" si="1"/>
        <v>0.87337440109514031</v>
      </c>
      <c r="X68" t="s">
        <v>1000</v>
      </c>
    </row>
    <row r="69" spans="1:24"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875</v>
      </c>
      <c r="W69" s="20">
        <f t="shared" ca="1" si="1"/>
        <v>0.87337440109514031</v>
      </c>
      <c r="X69" t="s">
        <v>1000</v>
      </c>
    </row>
    <row r="70" spans="1:24" ht="14.25"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874</v>
      </c>
      <c r="W70" s="20" t="str">
        <f t="shared" ca="1" si="1"/>
        <v/>
      </c>
      <c r="X70" t="s">
        <v>1000</v>
      </c>
    </row>
    <row r="71" spans="1:24" ht="14.25"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874</v>
      </c>
      <c r="W71" s="20" t="str">
        <f t="shared" ca="1" si="1"/>
        <v/>
      </c>
      <c r="X71" t="s">
        <v>1000</v>
      </c>
    </row>
    <row r="72" spans="1:24" ht="14.25"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c r="X72" t="s">
        <v>1000</v>
      </c>
    </row>
    <row r="73" spans="1:24" ht="14.25"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c r="X73" t="s">
        <v>1000</v>
      </c>
    </row>
    <row r="74" spans="1:24"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875</v>
      </c>
      <c r="W74" s="20">
        <f t="shared" ca="1" si="1"/>
        <v>0.8268309377138946</v>
      </c>
      <c r="X74" t="s">
        <v>1000</v>
      </c>
    </row>
    <row r="75" spans="1:24" ht="14.25"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874</v>
      </c>
      <c r="W75" s="20">
        <f t="shared" ca="1" si="1"/>
        <v>0.50650239561943877</v>
      </c>
      <c r="X75" t="s">
        <v>1008</v>
      </c>
    </row>
    <row r="76" spans="1:24" ht="14.25"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t="s">
        <v>1065</v>
      </c>
      <c r="S76" s="19">
        <v>46114</v>
      </c>
      <c r="T76" t="s">
        <v>248</v>
      </c>
      <c r="U76" t="s">
        <v>233</v>
      </c>
      <c r="V76" t="s">
        <v>874</v>
      </c>
      <c r="W76" s="20">
        <f t="shared" ca="1" si="1"/>
        <v>0.3805612594113621</v>
      </c>
      <c r="X76" t="s">
        <v>1008</v>
      </c>
    </row>
    <row r="77" spans="1:24" ht="14.25" customHeight="1" x14ac:dyDescent="0.3">
      <c r="A77" t="s">
        <v>271</v>
      </c>
      <c r="B77">
        <v>114070</v>
      </c>
      <c r="C77">
        <v>125</v>
      </c>
      <c r="D77">
        <v>0</v>
      </c>
      <c r="E77" t="s">
        <v>36</v>
      </c>
      <c r="F77" t="s">
        <v>36</v>
      </c>
      <c r="G77" s="1" t="s">
        <v>36</v>
      </c>
      <c r="H77" s="1" t="s">
        <v>36</v>
      </c>
      <c r="I77" s="1" t="s">
        <v>23</v>
      </c>
      <c r="J77" t="s">
        <v>34</v>
      </c>
      <c r="K77" t="s">
        <v>249</v>
      </c>
      <c r="L77" t="s">
        <v>52</v>
      </c>
      <c r="M77" t="s">
        <v>26</v>
      </c>
      <c r="N77" t="s">
        <v>58</v>
      </c>
      <c r="O77" s="1" t="s">
        <v>243</v>
      </c>
      <c r="Q77" t="s">
        <v>29</v>
      </c>
      <c r="S77" s="19">
        <v>46162</v>
      </c>
      <c r="T77" t="s">
        <v>42</v>
      </c>
      <c r="U77" s="1" t="s">
        <v>210</v>
      </c>
      <c r="V77" t="s">
        <v>875</v>
      </c>
      <c r="W77" s="20">
        <f t="shared" ca="1" si="1"/>
        <v>0.24914442162902123</v>
      </c>
      <c r="X77" t="s">
        <v>1001</v>
      </c>
    </row>
    <row r="78" spans="1:24" ht="14.25" customHeight="1" x14ac:dyDescent="0.3">
      <c r="A78" t="s">
        <v>250</v>
      </c>
      <c r="B78">
        <v>217000</v>
      </c>
      <c r="C78">
        <f>2*110</f>
        <v>220</v>
      </c>
      <c r="D78">
        <v>0</v>
      </c>
      <c r="E78" t="s">
        <v>36</v>
      </c>
      <c r="F78" t="s">
        <v>36</v>
      </c>
      <c r="G78" s="1" t="s">
        <v>36</v>
      </c>
      <c r="H78" s="1" t="s">
        <v>36</v>
      </c>
      <c r="I78" s="1" t="s">
        <v>23</v>
      </c>
      <c r="J78" t="s">
        <v>50</v>
      </c>
      <c r="K78" s="1" t="s">
        <v>51</v>
      </c>
      <c r="L78" t="s">
        <v>52</v>
      </c>
      <c r="M78" t="s">
        <v>26</v>
      </c>
      <c r="N78" t="s">
        <v>38</v>
      </c>
      <c r="O78" s="1" t="s">
        <v>243</v>
      </c>
      <c r="Q78" t="s">
        <v>53</v>
      </c>
      <c r="S78" s="19">
        <v>46140</v>
      </c>
      <c r="T78" t="s">
        <v>42</v>
      </c>
      <c r="U78" s="1" t="s">
        <v>210</v>
      </c>
      <c r="V78" t="s">
        <v>875</v>
      </c>
      <c r="W78" s="20">
        <f t="shared" ca="1" si="1"/>
        <v>0.30937713894592744</v>
      </c>
      <c r="X78" t="s">
        <v>1000</v>
      </c>
    </row>
    <row r="79" spans="1:24" ht="14.25" customHeight="1" x14ac:dyDescent="0.3">
      <c r="A79" t="s">
        <v>251</v>
      </c>
      <c r="B79">
        <v>161000</v>
      </c>
      <c r="C79">
        <v>150</v>
      </c>
      <c r="D79">
        <v>0</v>
      </c>
      <c r="E79" t="s">
        <v>36</v>
      </c>
      <c r="F79" t="s">
        <v>36</v>
      </c>
      <c r="G79" s="1" t="s">
        <v>36</v>
      </c>
      <c r="H79" s="1" t="s">
        <v>36</v>
      </c>
      <c r="I79" t="s">
        <v>23</v>
      </c>
      <c r="J79" t="s">
        <v>153</v>
      </c>
      <c r="K79" t="s">
        <v>252</v>
      </c>
      <c r="L79" t="s">
        <v>52</v>
      </c>
      <c r="M79" t="s">
        <v>26</v>
      </c>
      <c r="N79" t="s">
        <v>58</v>
      </c>
      <c r="O79" s="1" t="s">
        <v>243</v>
      </c>
      <c r="Q79" t="s">
        <v>29</v>
      </c>
      <c r="S79" s="19"/>
      <c r="T79" t="s">
        <v>872</v>
      </c>
      <c r="U79" s="1" t="s">
        <v>210</v>
      </c>
      <c r="V79" t="s">
        <v>874</v>
      </c>
      <c r="W79" s="20" t="str">
        <f t="shared" ca="1" si="1"/>
        <v/>
      </c>
      <c r="X79" t="s">
        <v>1008</v>
      </c>
    </row>
    <row r="80" spans="1:24" ht="14.25" customHeight="1" x14ac:dyDescent="0.3">
      <c r="A80" t="s">
        <v>1002</v>
      </c>
      <c r="B80">
        <v>148800</v>
      </c>
      <c r="C80">
        <v>150</v>
      </c>
      <c r="D80">
        <v>0</v>
      </c>
      <c r="E80" t="s">
        <v>36</v>
      </c>
      <c r="F80" t="s">
        <v>36</v>
      </c>
      <c r="G80" s="1" t="s">
        <v>36</v>
      </c>
      <c r="H80" s="1" t="s">
        <v>36</v>
      </c>
      <c r="I80" t="s">
        <v>23</v>
      </c>
      <c r="J80" t="s">
        <v>1011</v>
      </c>
      <c r="K80" t="s">
        <v>1005</v>
      </c>
      <c r="L80" t="s">
        <v>52</v>
      </c>
      <c r="M80" t="s">
        <v>26</v>
      </c>
      <c r="N80" t="s">
        <v>58</v>
      </c>
      <c r="O80" s="1" t="s">
        <v>243</v>
      </c>
      <c r="Q80" t="s">
        <v>29</v>
      </c>
      <c r="S80" s="19"/>
      <c r="T80" t="s">
        <v>872</v>
      </c>
      <c r="U80" s="1" t="s">
        <v>210</v>
      </c>
      <c r="V80" t="s">
        <v>874</v>
      </c>
      <c r="W80" t="str">
        <f t="shared" ref="W80:W81" ca="1" si="2">IF(ISNUMBER(S80),(TODAY()-S80)/365.25,"")</f>
        <v/>
      </c>
      <c r="X80" t="s">
        <v>1008</v>
      </c>
    </row>
    <row r="81" spans="1:24" ht="14.25" customHeight="1" x14ac:dyDescent="0.3">
      <c r="A81" t="s">
        <v>1003</v>
      </c>
      <c r="B81">
        <v>132680</v>
      </c>
      <c r="C81">
        <v>125</v>
      </c>
      <c r="D81">
        <v>0</v>
      </c>
      <c r="E81" t="s">
        <v>36</v>
      </c>
      <c r="F81" t="s">
        <v>36</v>
      </c>
      <c r="G81" s="1" t="s">
        <v>36</v>
      </c>
      <c r="H81" s="1" t="s">
        <v>36</v>
      </c>
      <c r="I81" t="s">
        <v>23</v>
      </c>
      <c r="J81" t="s">
        <v>34</v>
      </c>
      <c r="K81" t="s">
        <v>1006</v>
      </c>
      <c r="L81" t="s">
        <v>52</v>
      </c>
      <c r="M81" t="s">
        <v>26</v>
      </c>
      <c r="N81" t="s">
        <v>58</v>
      </c>
      <c r="Q81" t="s">
        <v>29</v>
      </c>
      <c r="S81" s="19"/>
      <c r="T81" t="s">
        <v>872</v>
      </c>
      <c r="U81" s="1" t="s">
        <v>210</v>
      </c>
      <c r="V81" t="s">
        <v>874</v>
      </c>
      <c r="W81" t="str">
        <f t="shared" ca="1" si="2"/>
        <v/>
      </c>
      <c r="X81" t="s">
        <v>1008</v>
      </c>
    </row>
    <row r="82" spans="1:24" ht="14.25" customHeight="1" x14ac:dyDescent="0.3">
      <c r="A82" t="s">
        <v>1004</v>
      </c>
      <c r="B82">
        <v>29760</v>
      </c>
      <c r="C82">
        <v>30</v>
      </c>
      <c r="D82">
        <v>0</v>
      </c>
      <c r="E82" t="s">
        <v>36</v>
      </c>
      <c r="F82" t="s">
        <v>36</v>
      </c>
      <c r="G82" s="1" t="s">
        <v>36</v>
      </c>
      <c r="H82" s="1" t="s">
        <v>36</v>
      </c>
      <c r="I82" t="s">
        <v>23</v>
      </c>
      <c r="J82" t="s">
        <v>56</v>
      </c>
      <c r="K82" t="s">
        <v>1007</v>
      </c>
      <c r="L82" t="s">
        <v>52</v>
      </c>
      <c r="M82" t="s">
        <v>26</v>
      </c>
      <c r="N82" t="s">
        <v>58</v>
      </c>
      <c r="Q82" t="s">
        <v>29</v>
      </c>
      <c r="S82" s="19">
        <v>46185</v>
      </c>
      <c r="T82" t="s">
        <v>872</v>
      </c>
      <c r="U82" s="1" t="s">
        <v>210</v>
      </c>
      <c r="V82" t="s">
        <v>874</v>
      </c>
      <c r="W82">
        <f ca="1">IF(ISNUMBER(S82),(TODAY()-S82)/365.25,"")</f>
        <v>0.18617385352498289</v>
      </c>
      <c r="X82" t="s">
        <v>1008</v>
      </c>
    </row>
    <row r="83" spans="1:24" ht="14.25" customHeight="1" x14ac:dyDescent="0.3"/>
    <row r="84" spans="1:24" ht="14.25" customHeight="1" x14ac:dyDescent="0.3"/>
    <row r="85" spans="1:24" ht="14.25" customHeight="1" x14ac:dyDescent="0.3"/>
    <row r="86" spans="1:24" ht="14.25" customHeight="1" x14ac:dyDescent="0.3"/>
    <row r="87" spans="1:24" ht="14.25" customHeight="1" x14ac:dyDescent="0.3"/>
    <row r="88" spans="1:24" ht="14.25" customHeight="1" x14ac:dyDescent="0.3"/>
    <row r="89" spans="1:24" ht="14.25" customHeight="1" x14ac:dyDescent="0.3"/>
    <row r="90" spans="1:24" ht="14.25" customHeight="1" x14ac:dyDescent="0.3"/>
    <row r="91" spans="1:24" ht="14.25" customHeight="1" x14ac:dyDescent="0.3"/>
    <row r="92" spans="1:24" ht="14.25" customHeight="1" x14ac:dyDescent="0.3"/>
    <row r="93" spans="1:24" ht="14.25" customHeight="1" x14ac:dyDescent="0.3"/>
    <row r="94" spans="1:24" ht="14.25" customHeight="1" x14ac:dyDescent="0.3"/>
    <row r="95" spans="1:24" ht="14.25" customHeight="1" x14ac:dyDescent="0.3"/>
    <row r="96" spans="1:24"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8">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2"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2"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2" xr:uid="{00000000-0002-0000-0000-000002000000}">
      <formula1>"Decommissioned,Producing,Reduced Demand"</formula1>
      <formula2>0</formula2>
    </dataValidation>
    <dataValidation type="list" allowBlank="1" showInputMessage="1" showErrorMessage="1" sqref="V2:V82" xr:uid="{2A54AE45-3D04-43F7-B880-1BB329B234AF}">
      <formula1>"YES,NO"</formula1>
    </dataValidation>
    <dataValidation type="list" allowBlank="1" showInputMessage="1" showErrorMessage="1" sqref="X2:Y82" xr:uid="{44973B9A-327E-4911-A79C-D3F0049038B9}">
      <formula1>"High,Medium,Low,Unknown"</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67"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C5"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1.6290212183436004</v>
      </c>
      <c r="E2" s="31" cm="1">
        <f t="array" ref="E2">IFERROR(SUM(INDEX('Simulated Production'!$B$2:$M$80,MATCH(TRIM($A2),INDEX(TRIM('Simulated Production'!$A$2:$A$80),0),0),0)),"Not found")</f>
        <v>63342</v>
      </c>
      <c r="F2" s="32">
        <f ca="1">(Table2[[#This Row],[As-Built kWh]]*Table2[[#This Row],[Expected Utilisation%]])*(1-0.007)^(Table2[[#This Row],[Age]])</f>
        <v>56359.164005036138</v>
      </c>
      <c r="G2" s="32">
        <f ca="1">(4681+4732*(9/31)+4546*(10/31)+4620*(3/30)+4991+4762)*(1-0.007)^(Table2[[#This Row],[Age]])</f>
        <v>17534.454532427306</v>
      </c>
      <c r="H2" s="31">
        <f ca="1">F2-G2</f>
        <v>38824.709472608833</v>
      </c>
      <c r="I2" s="31" cm="1">
        <f t="array" ref="I2">SUMPRODUCT((TRIM(measured[Site Name])=TRIM($A2))*(measured[Date]&gt;=DATE(2025,7,1))*(measured[Date]&lt;=DATE(2026,6,30))*measured[Measured Value (kWh)])</f>
        <v>34917.199999999997</v>
      </c>
      <c r="J2" s="31">
        <f ca="1">I2-H2</f>
        <v>-3907.5094726088355</v>
      </c>
      <c r="K2" s="31">
        <f ca="1">(Table2[[#This Row],[Actual Generation (kWh)]]/Table2[[#This Row],[Correct kWh]])*100</f>
        <v>89.93550878889225</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2.5598904859685145</v>
      </c>
      <c r="E3" s="31" cm="1">
        <f t="array" ref="E3">IFERROR(SUM(INDEX('Simulated Production'!$B$2:$M$80,MATCH(TRIM($A3),INDEX(TRIM('Simulated Production'!$A$2:$A$80),0),0),0)),"Not found")</f>
        <v>94580</v>
      </c>
      <c r="F3" s="32">
        <f ca="1">(Table2[[#This Row],[As-Built kWh]]*Table2[[#This Row],[Expected Utilisation%]])*(1-0.007)^(Table2[[#This Row],[Age]])</f>
        <v>83604.99579454682</v>
      </c>
      <c r="G3" s="32">
        <f ca="1">(8100*(1/2)+7806*(1/2))*(1-0.007)^(Table2[[#This Row],[Age]])</f>
        <v>7811.2653785628963</v>
      </c>
      <c r="H3" s="31">
        <f t="shared" ref="H3:H24" ca="1" si="0">F3-G3</f>
        <v>75793.730415983926</v>
      </c>
      <c r="I3" s="31" cm="1">
        <f t="array" ref="I3">SUMPRODUCT((TRIM(measured[Site Name])=TRIM($A3))*(measured[Date]&gt;=DATE(2025,7,1))*(measured[Date]&lt;=DATE(2026,6,30))*measured[Measured Value (kWh)])</f>
        <v>76046.755900000004</v>
      </c>
      <c r="J3" s="31">
        <f t="shared" ref="J3:J23" ca="1" si="1">I3-H3</f>
        <v>253.02548401607783</v>
      </c>
      <c r="K3" s="31">
        <f ca="1">(Table2[[#This Row],[Actual Generation (kWh)]]/Table2[[#This Row],[Correct kWh]])*100</f>
        <v>100.33383431931293</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3.3018480492813143</v>
      </c>
      <c r="E4" s="31" cm="1">
        <f t="array" ref="E4">IFERROR(SUM(INDEX('Simulated Production'!$B$2:$M$80,MATCH(TRIM($A4),INDEX(TRIM('Simulated Production'!$A$2:$A$80),0),0),0)),"Not found")</f>
        <v>428379</v>
      </c>
      <c r="F4" s="32">
        <f ca="1">(Table2[[#This Row],[As-Built kWh]]*Table2[[#This Row],[Expected Utilisation%]])*(1-0.007)^(Table2[[#This Row],[Age]])</f>
        <v>334845.94330591173</v>
      </c>
      <c r="G4" s="32">
        <f ca="1">(23255*(7/30)+35066*(2/30))*(1-0.007)^(Table2[[#This Row],[Age]])</f>
        <v>7585.8947895227357</v>
      </c>
      <c r="H4" s="31">
        <f t="shared" ca="1" si="0"/>
        <v>327260.04851638898</v>
      </c>
      <c r="I4" s="31" cm="1">
        <f t="array" ref="I4">SUMPRODUCT((TRIM(measured[Site Name])=TRIM($A4))*(measured[Date]&gt;=DATE(2025,7,1))*(measured[Date]&lt;=DATE(2026,6,30))*measured[Measured Value (kWh)])</f>
        <v>166060.42000000001</v>
      </c>
      <c r="J4" s="31">
        <f t="shared" ca="1" si="1"/>
        <v>-161199.62851638897</v>
      </c>
      <c r="K4" s="31">
        <f ca="1">(Table2[[#This Row],[Actual Generation (kWh)]]/Table2[[#This Row],[Correct kWh]])*100</f>
        <v>50.742649691834842</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3.2334017796030117</v>
      </c>
      <c r="E5" s="40" cm="1">
        <f t="array" ref="E5">IFERROR(SUM(INDEX('Simulated Production'!$B$2:$M$80,MATCH(TRIM($A5),INDEX(TRIM('Simulated Production'!$A$2:$A$80),0),0),0)),"Not found")</f>
        <v>45617</v>
      </c>
      <c r="F5" s="41">
        <f ca="1">(Table2[[#This Row],[As-Built kWh]]*Table2[[#This Row],[Expected Utilisation%]])*(1-0.007)^(Table2[[#This Row],[Age]])</f>
        <v>40133.304909310224</v>
      </c>
      <c r="G5" s="41">
        <f ca="1">(4681+3499*(9/31)+2081*(10/31)+4317*(3/30)+4991*(18/31))*(1-0.007)^(Table2[[#This Row],[Age]])</f>
        <v>9480.0410546256826</v>
      </c>
      <c r="H5" s="40">
        <f t="shared" ca="1" si="0"/>
        <v>30653.263854684541</v>
      </c>
      <c r="I5" s="40" cm="1">
        <f t="array" ref="I5">SUMPRODUCT((TRIM(measured[Site Name])=TRIM($A5))*(measured[Date]&gt;=DATE(2025,7,1))*(measured[Date]&lt;=DATE(2026,6,30))*measured[Measured Value (kWh)])</f>
        <v>24341.599999999999</v>
      </c>
      <c r="J5" s="40">
        <f t="shared" ca="1" si="1"/>
        <v>-6311.6638546845425</v>
      </c>
      <c r="K5" s="40">
        <f ca="1">(Table2[[#This Row],[Actual Generation (kWh)]]/Table2[[#This Row],[Correct kWh]])*100</f>
        <v>79.409488383991544</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3.2334017796030117</v>
      </c>
      <c r="E6" s="14" cm="1">
        <f t="array" ref="E6">IFERROR(SUM(INDEX('Simulated Production'!$B$2:$M$80,MATCH(TRIM($A6),INDEX(TRIM('Simulated Production'!$A$2:$A$80),0),0),0)),"Not found")</f>
        <v>40942</v>
      </c>
      <c r="F6" s="5">
        <f ca="1">(Table2[[#This Row],[As-Built kWh]]*Table2[[#This Row],[Expected Utilisation%]])*(1-0.007)^(Table2[[#This Row],[Age]])</f>
        <v>36020.294398951693</v>
      </c>
      <c r="G6" s="5">
        <f ca="1">(2974*(24/31)+3147*(2/30))*(1-0.007)^(Table2[[#This Row],[Age]])</f>
        <v>2455.8329859860132</v>
      </c>
      <c r="H6" s="14">
        <f t="shared" ca="1" si="0"/>
        <v>33564.461412965684</v>
      </c>
      <c r="I6" s="14" cm="1">
        <f t="array" ref="I6">SUMPRODUCT((TRIM(measured[Site Name])=TRIM($A6))*(measured[Date]&gt;=DATE(2025,7,1))*(measured[Date]&lt;=DATE(2026,6,30))*measured[Measured Value (kWh)])</f>
        <v>32105.499999999996</v>
      </c>
      <c r="J6" s="14">
        <f t="shared" ca="1" si="1"/>
        <v>-1458.9614129656875</v>
      </c>
      <c r="K6" s="14">
        <f ca="1">(Table2[[#This Row],[Actual Generation (kWh)]]/Table2[[#This Row],[Correct kWh]])*100</f>
        <v>95.653255403043346</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2.9514031485284051</v>
      </c>
      <c r="E7" s="31" cm="1">
        <f t="array" ref="E7">IFERROR(SUM(INDEX('Simulated Production'!$B$2:$M$80,MATCH(TRIM($A7),INDEX(TRIM('Simulated Production'!$A$2:$A$80),0),0),0)),"Not found")</f>
        <v>319608</v>
      </c>
      <c r="F7" s="32">
        <f ca="1">(Table2[[#This Row],[As-Built kWh]]*Table2[[#This Row],[Expected Utilisation%]])*(1-0.007)^(Table2[[#This Row],[Age]])</f>
        <v>266092.4606274871</v>
      </c>
      <c r="G7" s="32">
        <v>0</v>
      </c>
      <c r="H7" s="31">
        <f t="shared" ca="1" si="0"/>
        <v>266092.4606274871</v>
      </c>
      <c r="I7" s="31" cm="1">
        <f t="array" ref="I7">SUMPRODUCT((TRIM(measured[Site Name])=TRIM($A7))*(measured[Date]&gt;=DATE(2025,7,1))*(measured[Date]&lt;=DATE(2026,6,30))*measured[Measured Value (kWh)])</f>
        <v>254905.02</v>
      </c>
      <c r="J7" s="31">
        <f t="shared" ca="1" si="1"/>
        <v>-11187.440627487114</v>
      </c>
      <c r="K7" s="31">
        <f ca="1">(Table2[[#This Row],[Actual Generation (kWh)]]/Table2[[#This Row],[Correct kWh]])*100</f>
        <v>95.79565666719553</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2.1629021218343598</v>
      </c>
      <c r="E8" s="31" cm="1">
        <f t="array" ref="E8">IFERROR(SUM(INDEX('Simulated Production'!$B$2:$M$80,MATCH(TRIM($A8),INDEX(TRIM('Simulated Production'!$A$2:$A$80),0),0),0)),"Not found")</f>
        <v>355254</v>
      </c>
      <c r="F8" s="32">
        <f ca="1">(Table2[[#This Row],[As-Built kWh]]*Table2[[#This Row],[Expected Utilisation%]])*(1-0.007)^(Table2[[#This Row],[Age]])</f>
        <v>314907.50361258833</v>
      </c>
      <c r="G8" s="32">
        <f ca="1">((22354*(0.5)+26969*(7/31))*(1-0.007)^(Table2[[#This Row],[Age]]))*(1-0.007)^(Table2[[#This Row],[Age]])</f>
        <v>16749.97857053245</v>
      </c>
      <c r="H8" s="31">
        <f t="shared" ca="1" si="0"/>
        <v>298157.52504205587</v>
      </c>
      <c r="I8" s="31" cm="1">
        <f t="array" ref="I8">SUMPRODUCT((TRIM(measured[Site Name])=TRIM($A8))*(measured[Date]&gt;=DATE(2025,7,1))*(measured[Date]&lt;=DATE(2026,6,30))*measured[Measured Value (kWh)])</f>
        <v>271722.179</v>
      </c>
      <c r="J8" s="31">
        <f t="shared" ca="1" si="1"/>
        <v>-26435.346042055869</v>
      </c>
      <c r="K8" s="31">
        <f ca="1">(Table2[[#This Row],[Actual Generation (kWh)]]/Table2[[#This Row],[Correct kWh]])*100</f>
        <v>91.13376526776338</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2.4668035592060233</v>
      </c>
      <c r="E9" s="31" cm="1">
        <f t="array" ref="E9">IFERROR(SUM(INDEX('Simulated Production'!$B$2:$M$80,MATCH(TRIM($A9),INDEX(TRIM('Simulated Production'!$A$2:$A$80),0),0),0)),"Not found")</f>
        <v>200775</v>
      </c>
      <c r="F9" s="32">
        <f ca="1">(Table2[[#This Row],[As-Built kWh]]*Table2[[#This Row],[Expected Utilisation%]])*(1-0.007)^(Table2[[#This Row],[Age]])</f>
        <v>157860.69732464859</v>
      </c>
      <c r="G9" s="32">
        <f ca="1">('Expected Production'!I34*0.5+'Expected Production'!C34*0.8)*(1-0.007)^(Table2[[#This Row],[Age]])</f>
        <v>17814.769377525543</v>
      </c>
      <c r="H9" s="31">
        <f t="shared" ca="1" si="0"/>
        <v>140045.92794712304</v>
      </c>
      <c r="I9" s="31" cm="1">
        <f t="array" ref="I9">SUMPRODUCT((TRIM(measured[Site Name])=TRIM($A9))*(measured[Date]&gt;=DATE(2025,7,1))*(measured[Date]&lt;=DATE(2026,6,30))*measured[Measured Value (kWh)])</f>
        <v>147166.31</v>
      </c>
      <c r="J9" s="31">
        <f t="shared" ca="1" si="1"/>
        <v>7120.3820528769575</v>
      </c>
      <c r="K9" s="31">
        <f ca="1">(Table2[[#This Row],[Actual Generation (kWh)]]/Table2[[#This Row],[Correct kWh]])*100</f>
        <v>105.08431923530499</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3.5318275154004106</v>
      </c>
      <c r="E10" s="31" cm="1">
        <f t="array" ref="E10">IFERROR(SUM(INDEX('Simulated Production'!$B$2:$M$80,MATCH(TRIM($A10),INDEX(TRIM('Simulated Production'!$A$2:$A$80),0),0),0)),"Not found")</f>
        <v>73186</v>
      </c>
      <c r="F10" s="32">
        <f ca="1">(Table2[[#This Row],[As-Built kWh]]*Table2[[#This Row],[Expected Utilisation%]])*(1-0.007)^(Table2[[#This Row],[Age]])</f>
        <v>64253.352529882621</v>
      </c>
      <c r="G10" s="32">
        <v>0</v>
      </c>
      <c r="H10" s="31">
        <f t="shared" ca="1" si="0"/>
        <v>64253.352529882621</v>
      </c>
      <c r="I10" s="31" cm="1">
        <f t="array" ref="I10">SUMPRODUCT((TRIM(measured[Site Name])=TRIM($A10))*(measured[Date]&gt;=DATE(2025,7,1))*(measured[Date]&lt;=DATE(2026,6,30))*measured[Measured Value (kWh)])</f>
        <v>61467.39</v>
      </c>
      <c r="J10" s="31">
        <f t="shared" ca="1" si="1"/>
        <v>-2785.9625298826213</v>
      </c>
      <c r="K10" s="31">
        <f ca="1">(Table2[[#This Row],[Actual Generation (kWh)]]/Table2[[#This Row],[Correct kWh]])*100</f>
        <v>95.664097793828049</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2.9541409993155372</v>
      </c>
      <c r="E11" s="14" cm="1">
        <f t="array" ref="E11">IFERROR(SUM(INDEX('Simulated Production'!$B$2:$M$80,MATCH(TRIM($A11),INDEX(TRIM('Simulated Production'!$A$2:$A$80),0),0),0)),"Not found")</f>
        <v>66026</v>
      </c>
      <c r="F11" s="5">
        <f ca="1">(Table2[[#This Row],[As-Built kWh]]*Table2[[#This Row],[Expected Utilisation%]])*(1-0.007)^(Table2[[#This Row],[Age]])</f>
        <v>58202.970048652045</v>
      </c>
      <c r="G11" s="5">
        <v>0</v>
      </c>
      <c r="H11" s="14">
        <f t="shared" ca="1" si="0"/>
        <v>58202.970048652045</v>
      </c>
      <c r="I11" s="14" cm="1">
        <f t="array" ref="I11">SUMPRODUCT((TRIM(measured[Site Name])=TRIM($A11))*(measured[Date]&gt;=DATE(2025,7,1))*(measured[Date]&lt;=DATE(2026,6,30))*measured[Measured Value (kWh)])</f>
        <v>46668.700000000004</v>
      </c>
      <c r="J11" s="14">
        <f t="shared" ca="1" si="1"/>
        <v>-11534.270048652041</v>
      </c>
      <c r="K11" s="14">
        <f ca="1">(Table2[[#This Row],[Actual Generation (kWh)]]/Table2[[#This Row],[Correct kWh]])*100</f>
        <v>80.182677895972475</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4.2847364818617386</v>
      </c>
      <c r="E12" s="14" cm="1">
        <f t="array" ref="E12">IFERROR(SUM(INDEX('Simulated Production'!$B$2:$M$80,MATCH(TRIM($A12),INDEX(TRIM('Simulated Production'!$A$2:$A$80),0),0),0)),"Not found")</f>
        <v>125072.49999999997</v>
      </c>
      <c r="F12" s="5">
        <f ca="1">(Table2[[#This Row],[As-Built kWh]]*Table2[[#This Row],[Expected Utilisation%]])*(1-0.007)^(Table2[[#This Row],[Age]])</f>
        <v>91023.059255054308</v>
      </c>
      <c r="G12" s="5">
        <f ca="1">(5691*0.3*(1-0.007)^(Table2[[#This Row],[Age]]))*(1-0.007)^(Table2[[#This Row],[Age]])</f>
        <v>1607.5574697671914</v>
      </c>
      <c r="H12" s="14">
        <f t="shared" ca="1" si="0"/>
        <v>89415.50178528711</v>
      </c>
      <c r="I12" s="14" cm="1">
        <f t="array" ref="I12">SUMPRODUCT((TRIM(measured[Site Name])=TRIM($A12))*(measured[Date]&gt;=DATE(2025,7,1))*(measured[Date]&lt;=DATE(2026,6,30))*measured[Measured Value (kWh)])</f>
        <v>72438</v>
      </c>
      <c r="J12" s="14">
        <f t="shared" ca="1" si="1"/>
        <v>-16977.50178528711</v>
      </c>
      <c r="K12" s="14">
        <f ca="1">(Table2[[#This Row],[Actual Generation (kWh)]]/Table2[[#This Row],[Correct kWh]])*100</f>
        <v>81.012798176701978</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2.7049965776865159</v>
      </c>
      <c r="E13" s="14" cm="1">
        <f t="array" ref="E13">IFERROR(SUM(INDEX('Simulated Production'!$B$2:$M$80,MATCH(TRIM($A13),INDEX(TRIM('Simulated Production'!$A$2:$A$80),0),0),0)),"Not found")</f>
        <v>225937</v>
      </c>
      <c r="F13" s="5">
        <f ca="1">(Table2[[#This Row],[As-Built kWh]]*Table2[[#This Row],[Expected Utilisation%]])*(1-0.007)^(Table2[[#This Row],[Age]])</f>
        <v>188431.71949811571</v>
      </c>
      <c r="G13" s="5">
        <v>0</v>
      </c>
      <c r="H13" s="14">
        <f t="shared" ca="1" si="0"/>
        <v>188431.71949811571</v>
      </c>
      <c r="I13" s="14" cm="1">
        <f t="array" ref="I13">SUMPRODUCT((TRIM(measured[Site Name])=TRIM($A13))*(measured[Date]&gt;=DATE(2025,7,1))*(measured[Date]&lt;=DATE(2026,6,30))*measured[Measured Value (kWh)])</f>
        <v>176720.45</v>
      </c>
      <c r="J13" s="14">
        <f t="shared" ca="1" si="1"/>
        <v>-11711.269498115696</v>
      </c>
      <c r="K13" s="14">
        <f ca="1">(Table2[[#This Row],[Actual Generation (kWh)]]/Table2[[#This Row],[Correct kWh]])*100</f>
        <v>93.784873624616679</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3.0828199863107462</v>
      </c>
      <c r="E14" s="14" cm="1">
        <f t="array" ref="E14">IFERROR(SUM(INDEX('Simulated Production'!$B$2:$M$80,MATCH(TRIM($A14),INDEX(TRIM('Simulated Production'!$A$2:$A$80),0),0),0)),"Not found")</f>
        <v>81158</v>
      </c>
      <c r="F14" s="5">
        <f ca="1">(Table2[[#This Row],[As-Built kWh]]*Table2[[#This Row],[Expected Utilisation%]])*(1-0.007)^(Table2[[#This Row],[Age]])</f>
        <v>73462.913980026293</v>
      </c>
      <c r="G14" s="5">
        <v>0</v>
      </c>
      <c r="H14" s="14">
        <f t="shared" ca="1" si="0"/>
        <v>73462.913980026293</v>
      </c>
      <c r="I14" s="14" cm="1">
        <f t="array" ref="I14">SUMPRODUCT((TRIM(measured[Site Name])=TRIM($A14))*(measured[Date]&gt;=DATE(2025,7,1))*(measured[Date]&lt;=DATE(2026,6,30))*measured[Measured Value (kWh)])</f>
        <v>56043.3</v>
      </c>
      <c r="J14" s="14">
        <f t="shared" ca="1" si="1"/>
        <v>-17419.61398002629</v>
      </c>
      <c r="K14" s="14">
        <f ca="1">(Table2[[#This Row],[Actual Generation (kWh)]]/Table2[[#This Row],[Correct kWh]])*100</f>
        <v>76.287880460660091</v>
      </c>
      <c r="L14" t="s">
        <v>880</v>
      </c>
    </row>
    <row r="15" spans="1:12" x14ac:dyDescent="0.3">
      <c r="A15" s="1" t="s">
        <v>202</v>
      </c>
      <c r="B15" t="s">
        <v>875</v>
      </c>
      <c r="C15" s="9" cm="1">
        <f t="array" ref="C15">IFERROR(INDEX('Expected Production'!$B$2:$B$80,MATCH(TRIM($A15),INDEX(TRIM('Expected Production'!$A$2:$A$80),0),0)),"Not found")</f>
        <v>0.9</v>
      </c>
      <c r="D15" s="20" cm="1">
        <f t="array" aca="1" ref="D15" ca="1">_xlfn.IFNA(_xlfn.XLOOKUP(TRIM(A15),TRIM(site_tech_info!$A$2:$A$79),site_tech_info!$W$2:$W$79),"")</f>
        <v>2.9514031485284051</v>
      </c>
      <c r="E15" s="14" cm="1">
        <f t="array" ref="E15">IFERROR(SUM(INDEX('Simulated Production'!$B$2:$M$80,MATCH(TRIM($A15),INDEX(TRIM('Simulated Production'!$A$2:$A$80),0),0),0)),"Not found")</f>
        <v>312107</v>
      </c>
      <c r="F15" s="5">
        <f ca="1">(Table2[[#This Row],[As-Built kWh]]*Table2[[#This Row],[Expected Utilisation%]])*(1-0.007)^(Table2[[#This Row],[Age]])</f>
        <v>275132.58023489366</v>
      </c>
      <c r="G15" s="5">
        <v>0</v>
      </c>
      <c r="H15" s="14">
        <f t="shared" ca="1" si="0"/>
        <v>275132.58023489366</v>
      </c>
      <c r="I15" s="14" cm="1">
        <f t="array" ref="I15">SUMPRODUCT((TRIM(measured[Site Name])=TRIM($A15))*(measured[Date]&gt;=DATE(2025,7,1))*(measured[Date]&lt;=DATE(2026,6,30))*measured[Measured Value (kWh)])</f>
        <v>237169.27</v>
      </c>
      <c r="J15" s="14">
        <f t="shared" ca="1" si="1"/>
        <v>-37963.310234893666</v>
      </c>
      <c r="K15" s="14">
        <f ca="1">(Table2[[#This Row],[Actual Generation (kWh)]]/Table2[[#This Row],[Correct kWh]])*100</f>
        <v>86.201812158166575</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2.9952087611225187</v>
      </c>
      <c r="E16" s="14" cm="1">
        <f t="array" ref="E16">IFERROR(SUM(INDEX('Simulated Production'!$B$2:$M$80,MATCH(TRIM($A16),INDEX(TRIM('Simulated Production'!$A$2:$A$80),0),0),0)),"Not found")</f>
        <v>96848.548387096773</v>
      </c>
      <c r="F16" s="5">
        <f ca="1">(Table2[[#This Row],[As-Built kWh]]*Table2[[#This Row],[Expected Utilisation%]])*(1-0.007)^(Table2[[#This Row],[Age]])</f>
        <v>85348.911656214652</v>
      </c>
      <c r="G16" s="5">
        <f ca="1">(6087*(1-0.007)^(Table2[[#This Row],[Age]]))*(1-0.007)^(Table2[[#This Row],[Age]])</f>
        <v>5836.1712450262366</v>
      </c>
      <c r="H16" s="14">
        <f t="shared" ca="1" si="0"/>
        <v>79512.74041118841</v>
      </c>
      <c r="I16" s="14" cm="1">
        <f t="array" ref="I16">SUMPRODUCT((TRIM(measured[Site Name])=TRIM($A16))*(measured[Date]&gt;=DATE(2025,7,1))*(measured[Date]&lt;=DATE(2026,6,30))*measured[Measured Value (kWh)])</f>
        <v>77775.48</v>
      </c>
      <c r="J16" s="14">
        <f t="shared" ca="1" si="1"/>
        <v>-1737.2604111884139</v>
      </c>
      <c r="K16" s="14">
        <f ca="1">(Table2[[#This Row],[Actual Generation (kWh)]]/Table2[[#This Row],[Correct kWh]])*100</f>
        <v>97.815116920628782</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2.9952087611225187</v>
      </c>
      <c r="E17" s="14" cm="1">
        <f t="array" ref="E17">IFERROR(SUM(INDEX('Simulated Production'!$B$2:$M$80,MATCH(TRIM($A17),INDEX(TRIM('Simulated Production'!$A$2:$A$80),0),0),0)),"Not found")</f>
        <v>100237.87096774194</v>
      </c>
      <c r="F17" s="5">
        <f ca="1">(Table2[[#This Row],[As-Built kWh]]*Table2[[#This Row],[Expected Utilisation%]])*(1-0.007)^(Table2[[#This Row],[Age]])</f>
        <v>88335.791669673272</v>
      </c>
      <c r="G17" s="5">
        <f ca="1">(6247*(1-0.007)^(Table2[[#This Row],[Age]]))*(1-0.007)^(Table2[[#This Row],[Age]])</f>
        <v>5989.5780791323969</v>
      </c>
      <c r="H17" s="14">
        <f t="shared" ca="1" si="0"/>
        <v>82346.21359054088</v>
      </c>
      <c r="I17" s="14" cm="1">
        <f t="array" ref="I17">SUMPRODUCT((TRIM(measured[Site Name])=TRIM($A17))*(measured[Date]&gt;=DATE(2025,7,1))*(measured[Date]&lt;=DATE(2026,6,30))*measured[Measured Value (kWh)])</f>
        <v>78264.639999999999</v>
      </c>
      <c r="J17" s="14">
        <f t="shared" ca="1" si="1"/>
        <v>-4081.5735905408801</v>
      </c>
      <c r="K17" s="14">
        <f ca="1">(Table2[[#This Row],[Actual Generation (kWh)]]/Table2[[#This Row],[Correct kWh]])*100</f>
        <v>95.043398581947997</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0.90075290896646132</v>
      </c>
      <c r="E18" s="14" cm="1">
        <f t="array" ref="E18">IFERROR(SUM(INDEX('Simulated Production'!$B$2:$M$80,MATCH(TRIM($A18),INDEX(TRIM('Simulated Production'!$A$2:$A$80),0),0),0)),"Not found")</f>
        <v>524973</v>
      </c>
      <c r="F18" s="5">
        <f ca="1">(Table2[[#This Row],[As-Built kWh]]*Table2[[#This Row],[Expected Utilisation%]])*(1-0.007)^(Table2[[#This Row],[Age]])</f>
        <v>469495.57547759888</v>
      </c>
      <c r="G18" s="5">
        <f ca="1">(31229+36815+40778+47657*(5/30))*(1-0.007)^(Table2[[#This Row],[Age]])</f>
        <v>116028.34309019332</v>
      </c>
      <c r="H18" s="14">
        <f t="shared" ca="1" si="0"/>
        <v>353467.23238740559</v>
      </c>
      <c r="I18" s="14" cm="1">
        <f t="array" ref="I18">SUMPRODUCT((TRIM(measured[Site Name])=TRIM($A18))*(measured[Date]&gt;=DATE(2025,7,1))*(measured[Date]&lt;=DATE(2026,6,30))*measured[Measured Value (kWh)])</f>
        <v>300497.95500000002</v>
      </c>
      <c r="J18" s="14">
        <f t="shared" ca="1" si="1"/>
        <v>-52969.277387405571</v>
      </c>
      <c r="K18" s="14">
        <f ca="1">(Table2[[#This Row],[Actual Generation (kWh)]]/Table2[[#This Row],[Correct kWh]])*100</f>
        <v>85.014374025666285</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0.90075290896646132</v>
      </c>
      <c r="E19" s="14" cm="1">
        <f t="array" ref="E19">IFERROR(SUM(INDEX('Simulated Production'!$B$2:$M$80,MATCH(TRIM($A19),INDEX(TRIM('Simulated Production'!$A$2:$A$80),0),0),0)),"Not found")</f>
        <v>138565</v>
      </c>
      <c r="F19" s="5">
        <f ca="1">(Table2[[#This Row],[As-Built kWh]]*Table2[[#This Row],[Expected Utilisation%]])*(1-0.007)^(Table2[[#This Row],[Age]])</f>
        <v>123921.905347615</v>
      </c>
      <c r="G19" s="5">
        <f ca="1">(8307+9721+10756+12191*(5/30))*(1-0.007)^(Table2[[#This Row],[Age]])</f>
        <v>30621.463505223881</v>
      </c>
      <c r="H19" s="14">
        <f t="shared" ca="1" si="0"/>
        <v>93300.441842391127</v>
      </c>
      <c r="I19" s="14" cm="1">
        <f t="array" ref="I19">SUMPRODUCT((TRIM(measured[Site Name])=TRIM($A19))*(measured[Date]&gt;=DATE(2025,7,1))*(measured[Date]&lt;=DATE(2026,6,30))*measured[Measured Value (kWh)])</f>
        <v>81974.632769999997</v>
      </c>
      <c r="J19" s="14">
        <f t="shared" ca="1" si="1"/>
        <v>-11325.80907239113</v>
      </c>
      <c r="K19" s="14">
        <f ca="1">(Table2[[#This Row],[Actual Generation (kWh)]]/Table2[[#This Row],[Correct kWh]])*100</f>
        <v>87.860926648639676</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0.87337440109514031</v>
      </c>
      <c r="E20" s="14" cm="1">
        <f t="array" ref="E20">IFERROR(SUM(INDEX('Simulated Production'!$B$2:$M$80,MATCH(TRIM($A20),INDEX(TRIM('Simulated Production'!$A$2:$A$80),0),0),0)),"Not found")</f>
        <v>89076</v>
      </c>
      <c r="F20" s="5">
        <f ca="1">(Table2[[#This Row],[As-Built kWh]]*Table2[[#This Row],[Expected Utilisation%]])*(1-0.007)^(Table2[[#This Row],[Age]])</f>
        <v>79678.063012763494</v>
      </c>
      <c r="G20" s="5">
        <f ca="1">(5785+6585+7019+7479+7553+7553*(3/30))*(1-0.007)^(Table2[[#This Row],[Age]])</f>
        <v>34961.149878953205</v>
      </c>
      <c r="H20" s="14">
        <f t="shared" ca="1" si="0"/>
        <v>44716.913133810289</v>
      </c>
      <c r="I20" s="14" cm="1">
        <f t="array" ref="I20">SUMPRODUCT((TRIM(measured[Site Name])=TRIM($A20))*(measured[Date]&gt;=DATE(2025,7,1))*(measured[Date]&lt;=DATE(2026,6,30))*measured[Measured Value (kWh)])</f>
        <v>33061.699999999997</v>
      </c>
      <c r="J20" s="14">
        <f t="shared" ca="1" si="1"/>
        <v>-11655.213133810292</v>
      </c>
      <c r="K20" s="14">
        <f ca="1">(Table2[[#This Row],[Actual Generation (kWh)]]/Table2[[#This Row],[Correct kWh]])*100</f>
        <v>73.935559686480616</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0.87337440109514031</v>
      </c>
      <c r="E21" s="14" cm="1">
        <f t="array" ref="E21">IFERROR(SUM(INDEX('Simulated Production'!$B$2:$M$80,MATCH(TRIM($A21),INDEX(TRIM('Simulated Production'!$A$2:$A$80),0),0),0)),"Not found")</f>
        <v>89076</v>
      </c>
      <c r="F21" s="5">
        <f ca="1">(Table2[[#This Row],[As-Built kWh]]*Table2[[#This Row],[Expected Utilisation%]])*(1-0.007)^(Table2[[#This Row],[Age]])</f>
        <v>79678.063012763494</v>
      </c>
      <c r="G21" s="5">
        <f ca="1">(5785+6585+7019+7479+7553+7553*(3/30))*(1-0.007)^(Table2[[#This Row],[Age]])</f>
        <v>34961.149878953205</v>
      </c>
      <c r="H21" s="14">
        <f t="shared" ca="1" si="0"/>
        <v>44716.913133810289</v>
      </c>
      <c r="I21" s="14" cm="1">
        <f t="array" ref="I21">SUMPRODUCT((TRIM(measured[Site Name])=TRIM($A21))*(measured[Date]&gt;=DATE(2025,7,1))*(measured[Date]&lt;=DATE(2026,6,30))*measured[Measured Value (kWh)])</f>
        <v>47460.299999999996</v>
      </c>
      <c r="J21" s="14">
        <f t="shared" ca="1" si="1"/>
        <v>2743.3868661897068</v>
      </c>
      <c r="K21" s="14">
        <f ca="1">(Table2[[#This Row],[Actual Generation (kWh)]]/Table2[[#This Row],[Correct kWh]])*100</f>
        <v>106.13500949401502</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0.8268309377138946</v>
      </c>
      <c r="E22" s="14" cm="1">
        <f t="array" ref="E22">IFERROR(SUM(INDEX('Simulated Production'!$B$2:$M$80,MATCH(TRIM($A22),INDEX(TRIM('Simulated Production'!$A$2:$A$80),0),0),0)),"Not found")</f>
        <v>31637</v>
      </c>
      <c r="F22" s="5">
        <f ca="1">(Table2[[#This Row],[As-Built kWh]]*Table2[[#This Row],[Expected Utilisation%]])*(1-0.007)^(Table2[[#This Row],[Age]])</f>
        <v>28308.401605318304</v>
      </c>
      <c r="G22" s="5">
        <f ca="1">(2350+2520+2436+2426+2356+2437)*(1-0.007)^(Table2[[#This Row],[Age]])</f>
        <v>14440.880871456711</v>
      </c>
      <c r="H22" s="14">
        <f t="shared" ca="1" si="0"/>
        <v>13867.520733861593</v>
      </c>
      <c r="I22" s="14" cm="1">
        <f t="array" ref="I22">SUMPRODUCT((TRIM(measured[Site Name])=TRIM($A22))*(measured[Date]&gt;=DATE(2025,7,1))*(measured[Date]&lt;=DATE(2026,6,30))*measured[Measured Value (kWh)])</f>
        <v>17882.440000000002</v>
      </c>
      <c r="J22" s="14">
        <f t="shared" ca="1" si="1"/>
        <v>4014.9192661384095</v>
      </c>
      <c r="K22" s="14">
        <f ca="1">(Table2[[#This Row],[Actual Generation (kWh)]]/Table2[[#This Row],[Correct kWh]])*100</f>
        <v>128.95196151634238</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0.24914442162902123</v>
      </c>
      <c r="E23" s="25" cm="1">
        <f t="array" ref="E23">IFERROR(SUM(INDEX('Simulated Production'!$B$2:$M$80,MATCH(TRIM($A23),INDEX(TRIM('Simulated Production'!$A$2:$A$80),0),0),0)),"Not found")</f>
        <v>190644.6</v>
      </c>
      <c r="F23" s="26">
        <f ca="1">(Table2[[#This Row],[As-Built kWh]]*Table2[[#This Row],[Expected Utilisation%]])*(1-0.007)^(Table2[[#This Row],[Age]])</f>
        <v>171280.11273367904</v>
      </c>
      <c r="G23" s="26">
        <v>171487.7679849522</v>
      </c>
      <c r="H23" s="25">
        <f t="shared" ca="1" si="0"/>
        <v>-207.65525127315777</v>
      </c>
      <c r="I23" s="25" cm="1">
        <f t="array" ref="I23">SUMPRODUCT((TRIM(measured[Site Name])=TRIM($A23))*(measured[Date]&gt;=DATE(2025,7,1))*(measured[Date]&lt;=DATE(2026,6,30))*measured[Measured Value (kWh)])</f>
        <v>10169</v>
      </c>
      <c r="J23" s="25">
        <f t="shared" ca="1" si="1"/>
        <v>10376.655251273158</v>
      </c>
      <c r="K23" s="25">
        <f ca="1">(Table2[[#This Row],[Actual Generation (kWh)]]/Table2[[#This Row],[Correct kWh]])*100</f>
        <v>-4897.0589174377792</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0.30937713894592744</v>
      </c>
      <c r="E24" s="25" cm="1">
        <f t="array" ref="E24">IFERROR(SUM(INDEX('Simulated Production'!$B$2:$M$80,MATCH(TRIM($A24),INDEX(TRIM('Simulated Production'!$A$2:$A$80),0),0),0)),"Not found")</f>
        <v>380893</v>
      </c>
      <c r="F24" s="26">
        <f ca="1">(Table2[[#This Row],[As-Built kWh]]*Table2[[#This Row],[Expected Utilisation%]])*(1-0.007)^(Table2[[#This Row],[Age]])</f>
        <v>342059.5090033281</v>
      </c>
      <c r="G24" s="26">
        <f ca="1">(28051+31649+28250+28466+28992+28904+28877+25885+27341+27824*(28/30))*(1-0.007)^(Table2[[#This Row],[Age]])</f>
        <v>281771.04037781112</v>
      </c>
      <c r="H24" s="25">
        <f t="shared" ca="1" si="0"/>
        <v>60288.46862551698</v>
      </c>
      <c r="I24" s="25" cm="1">
        <f t="array" ref="I24">SUMPRODUCT((TRIM(measured[Site Name])=TRIM($A24))*(measured[Date]&gt;=DATE(2025,7,1))*(measured[Date]&lt;=DATE(2026,6,30))*measured[Measured Value (kWh)])</f>
        <v>53212.2</v>
      </c>
      <c r="J24" s="25">
        <f ca="1">I24-H24</f>
        <v>-7076.2686255169829</v>
      </c>
      <c r="K24" s="25">
        <f ca="1">(Table2[[#This Row],[Actual Generation (kWh)]]/Table2[[#This Row],[Correct kWh]])*100</f>
        <v>88.262649911591936</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08"/>
  <sheetViews>
    <sheetView topLeftCell="A212" zoomScaleNormal="100" workbookViewId="0">
      <selection activeCell="A608" sqref="A608:XFD608"/>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customHeight="1" x14ac:dyDescent="0.3">
      <c r="A32" t="s">
        <v>31</v>
      </c>
      <c r="B32" s="2">
        <v>46204</v>
      </c>
      <c r="C32">
        <v>1638</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customHeight="1" x14ac:dyDescent="0.3">
      <c r="A68" t="s">
        <v>43</v>
      </c>
      <c r="B68" s="2">
        <v>46204</v>
      </c>
      <c r="C68">
        <v>13136.5304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customHeight="1" x14ac:dyDescent="0.3">
      <c r="A104" t="s">
        <v>49</v>
      </c>
      <c r="B104" s="2">
        <v>46204</v>
      </c>
      <c r="C104">
        <v>2644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customHeight="1" x14ac:dyDescent="0.3">
      <c r="A140" t="s">
        <v>250</v>
      </c>
      <c r="B140" s="2">
        <v>46204</v>
      </c>
      <c r="C140">
        <v>27942</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customHeight="1" x14ac:dyDescent="0.3">
      <c r="A176" t="s">
        <v>55</v>
      </c>
      <c r="B176" s="2">
        <v>46204</v>
      </c>
      <c r="C176">
        <v>10351.41</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customHeight="1" x14ac:dyDescent="0.3">
      <c r="A212" t="s">
        <v>60</v>
      </c>
      <c r="B212" s="2">
        <v>46204</v>
      </c>
      <c r="C212">
        <v>39160</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customHeight="1" x14ac:dyDescent="0.3">
      <c r="A248" t="s">
        <v>61</v>
      </c>
      <c r="B248" s="2">
        <v>46204</v>
      </c>
      <c r="C248">
        <v>5251.38</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customHeight="1" x14ac:dyDescent="0.3">
      <c r="A284" t="s">
        <v>64</v>
      </c>
      <c r="B284" s="2">
        <v>46204</v>
      </c>
      <c r="C284">
        <v>3615</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customHeight="1" x14ac:dyDescent="0.3">
      <c r="A320" t="s">
        <v>66</v>
      </c>
      <c r="B320" s="2">
        <v>46204</v>
      </c>
      <c r="C320">
        <v>719</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customHeight="1" x14ac:dyDescent="0.3">
      <c r="A356" t="s">
        <v>71</v>
      </c>
      <c r="B356" s="2">
        <v>46204</v>
      </c>
      <c r="C356">
        <v>8756.0499999999993</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customHeight="1" x14ac:dyDescent="0.3">
      <c r="A392" t="s">
        <v>251</v>
      </c>
      <c r="B392" s="2">
        <v>46204</v>
      </c>
      <c r="C392">
        <v>16617.160800000001</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customHeight="1" x14ac:dyDescent="0.3">
      <c r="A428" t="s">
        <v>77</v>
      </c>
      <c r="B428" s="2">
        <v>46204</v>
      </c>
      <c r="C428">
        <v>16600</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customHeight="1" x14ac:dyDescent="0.3">
      <c r="A464" t="s">
        <v>80</v>
      </c>
      <c r="B464" s="2">
        <v>46204</v>
      </c>
      <c r="C464">
        <v>14345</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customHeight="1" x14ac:dyDescent="0.3">
      <c r="A500" t="s">
        <v>81</v>
      </c>
      <c r="B500" s="2">
        <v>46204</v>
      </c>
      <c r="C500">
        <v>5573.8</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customHeight="1" x14ac:dyDescent="0.3">
      <c r="A572" t="s">
        <v>90</v>
      </c>
      <c r="B572" s="2">
        <v>46204</v>
      </c>
      <c r="C572">
        <v>3547</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customHeight="1" x14ac:dyDescent="0.3">
      <c r="A608" t="s">
        <v>93</v>
      </c>
      <c r="B608" s="2">
        <v>46204</v>
      </c>
      <c r="C608">
        <v>0</v>
      </c>
      <c r="G608" t="s">
        <v>1012</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customHeight="1" x14ac:dyDescent="0.3">
      <c r="A644" t="s">
        <v>95</v>
      </c>
      <c r="B644" s="2">
        <v>46204</v>
      </c>
      <c r="C644">
        <v>12633</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customHeight="1" x14ac:dyDescent="0.3">
      <c r="A680" t="s">
        <v>271</v>
      </c>
      <c r="B680" s="2">
        <v>46204</v>
      </c>
      <c r="C680">
        <v>6140</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customHeight="1" x14ac:dyDescent="0.3">
      <c r="A717" t="s">
        <v>239</v>
      </c>
      <c r="B717" s="2">
        <v>46204</v>
      </c>
      <c r="C717">
        <v>3388.4247999999998</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customHeight="1" x14ac:dyDescent="0.3">
      <c r="A789" t="s">
        <v>102</v>
      </c>
      <c r="B789" s="2">
        <v>46204</v>
      </c>
      <c r="C789">
        <v>4112</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customHeight="1" x14ac:dyDescent="0.3">
      <c r="A825" t="s">
        <v>104</v>
      </c>
      <c r="B825" s="2">
        <v>46204</v>
      </c>
      <c r="C825">
        <v>857</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customHeight="1" x14ac:dyDescent="0.3">
      <c r="A861" t="s">
        <v>107</v>
      </c>
      <c r="B861" s="2">
        <v>46204</v>
      </c>
      <c r="C861">
        <v>1400</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customHeight="1" x14ac:dyDescent="0.3">
      <c r="A896" t="s">
        <v>228</v>
      </c>
      <c r="B896" s="2">
        <v>46204</v>
      </c>
      <c r="C896">
        <v>8390</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customHeight="1" x14ac:dyDescent="0.3">
      <c r="A932" t="s">
        <v>109</v>
      </c>
      <c r="B932" s="2">
        <v>46204</v>
      </c>
      <c r="C932">
        <v>2598</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customHeight="1" x14ac:dyDescent="0.3">
      <c r="A968" t="s">
        <v>113</v>
      </c>
      <c r="B968" s="2">
        <v>46204</v>
      </c>
      <c r="C968">
        <v>14156</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customHeight="1" x14ac:dyDescent="0.3">
      <c r="A1004" t="s">
        <v>114</v>
      </c>
      <c r="B1004" s="2">
        <v>46204</v>
      </c>
      <c r="C1004">
        <v>17975</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customHeight="1" x14ac:dyDescent="0.3">
      <c r="A1040" t="s">
        <v>117</v>
      </c>
      <c r="B1040" s="2">
        <v>46204</v>
      </c>
      <c r="C1040">
        <v>20850.759999999998</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customHeight="1" x14ac:dyDescent="0.3">
      <c r="A1076" t="s">
        <v>225</v>
      </c>
      <c r="B1076" s="2">
        <v>46204</v>
      </c>
      <c r="C1076">
        <v>7311</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customHeight="1" x14ac:dyDescent="0.3">
      <c r="A1112" t="s">
        <v>223</v>
      </c>
      <c r="B1112" s="2">
        <v>46204</v>
      </c>
      <c r="C1112">
        <v>3841</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customHeight="1" x14ac:dyDescent="0.3">
      <c r="A1148" t="s">
        <v>120</v>
      </c>
      <c r="B1148" s="2">
        <v>46204</v>
      </c>
      <c r="C1148">
        <v>6582.2</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customHeight="1" x14ac:dyDescent="0.3">
      <c r="A1184" t="s">
        <v>236</v>
      </c>
      <c r="B1184" s="2">
        <v>46204</v>
      </c>
      <c r="C1184">
        <v>6010.4031999999997</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customHeight="1" x14ac:dyDescent="0.3">
      <c r="A1220" t="s">
        <v>122</v>
      </c>
      <c r="B1220" s="2">
        <v>46204</v>
      </c>
      <c r="C1220">
        <v>12604.390950000001</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customHeight="1" x14ac:dyDescent="0.3">
      <c r="A1256" t="s">
        <v>124</v>
      </c>
      <c r="B1256" s="2">
        <v>46204</v>
      </c>
      <c r="C1256">
        <v>40997.122360000001</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customHeight="1" x14ac:dyDescent="0.3">
      <c r="A1292" t="s">
        <v>127</v>
      </c>
      <c r="B1292" s="2">
        <v>46204</v>
      </c>
      <c r="C1292">
        <v>13303</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customHeight="1" x14ac:dyDescent="0.3">
      <c r="A1364" t="s">
        <v>131</v>
      </c>
      <c r="B1364" s="2">
        <v>46204</v>
      </c>
      <c r="C1364">
        <v>5690</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customHeight="1" x14ac:dyDescent="0.3">
      <c r="A1400" t="s">
        <v>134</v>
      </c>
      <c r="B1400" s="2">
        <v>46204</v>
      </c>
      <c r="C1400">
        <v>27326.29</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customHeight="1" x14ac:dyDescent="0.3">
      <c r="A1436" t="s">
        <v>138</v>
      </c>
      <c r="B1436" s="2">
        <v>46204</v>
      </c>
      <c r="C1436">
        <v>0</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customHeight="1" x14ac:dyDescent="0.3">
      <c r="A1472" t="s">
        <v>220</v>
      </c>
      <c r="B1472" s="2">
        <v>46204</v>
      </c>
      <c r="C1472">
        <v>27717.592700000001</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customHeight="1" x14ac:dyDescent="0.3">
      <c r="A1508" t="s">
        <v>222</v>
      </c>
      <c r="B1508" s="2">
        <v>46204</v>
      </c>
      <c r="C1508">
        <v>7966.5733399999999</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customHeight="1" x14ac:dyDescent="0.3">
      <c r="A1544" t="s">
        <v>142</v>
      </c>
      <c r="B1544" s="2">
        <v>46204</v>
      </c>
      <c r="C1544">
        <v>3812</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customHeight="1" x14ac:dyDescent="0.3">
      <c r="A1616" t="s">
        <v>149</v>
      </c>
      <c r="B1616" s="2">
        <v>46204</v>
      </c>
      <c r="C1616">
        <v>6917</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customHeight="1" x14ac:dyDescent="0.3">
      <c r="A1652" t="s">
        <v>152</v>
      </c>
      <c r="B1652" s="2">
        <v>46204</v>
      </c>
      <c r="C1652">
        <v>6388</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customHeight="1" x14ac:dyDescent="0.3">
      <c r="A1688" t="s">
        <v>155</v>
      </c>
      <c r="B1688" s="2">
        <v>46204</v>
      </c>
      <c r="C1688">
        <v>0</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customHeight="1" x14ac:dyDescent="0.3">
      <c r="A1724" t="s">
        <v>157</v>
      </c>
      <c r="B1724" s="2">
        <v>46204</v>
      </c>
      <c r="C1724">
        <v>4628</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customHeight="1" x14ac:dyDescent="0.3">
      <c r="A1760" t="s">
        <v>160</v>
      </c>
      <c r="B1760" s="2">
        <v>46204</v>
      </c>
      <c r="C1760">
        <v>16691</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customHeight="1" x14ac:dyDescent="0.3">
      <c r="A1832" t="s">
        <v>163</v>
      </c>
      <c r="B1832" s="2">
        <v>46204</v>
      </c>
      <c r="C1832">
        <v>0</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customHeight="1" x14ac:dyDescent="0.3">
      <c r="A1868" t="s">
        <v>166</v>
      </c>
      <c r="B1868" s="2">
        <v>46204</v>
      </c>
      <c r="C1868">
        <v>12059</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customHeight="1" x14ac:dyDescent="0.3">
      <c r="A1904" t="s">
        <v>169</v>
      </c>
      <c r="B1904" s="2">
        <v>46204</v>
      </c>
      <c r="C1904">
        <v>1098</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customHeight="1" x14ac:dyDescent="0.3">
      <c r="A1940" t="s">
        <v>171</v>
      </c>
      <c r="B1940" s="2">
        <v>46204</v>
      </c>
      <c r="C1940">
        <v>6823</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customHeight="1" x14ac:dyDescent="0.3">
      <c r="A1976" t="s">
        <v>172</v>
      </c>
      <c r="B1976" s="2">
        <v>46204</v>
      </c>
      <c r="C1976">
        <v>6825.8941000000004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customHeight="1" x14ac:dyDescent="0.3">
      <c r="A2048" t="s">
        <v>177</v>
      </c>
      <c r="B2048" s="2">
        <v>46204</v>
      </c>
      <c r="C2048">
        <v>2926.66</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customHeight="1" x14ac:dyDescent="0.3">
      <c r="A2084" t="s">
        <v>180</v>
      </c>
      <c r="B2084" s="2">
        <v>46204</v>
      </c>
      <c r="C2084">
        <v>13658</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customHeight="1" x14ac:dyDescent="0.3">
      <c r="A2120" t="s">
        <v>241</v>
      </c>
      <c r="B2120" s="2">
        <v>46204</v>
      </c>
      <c r="C2120">
        <v>11339.6067</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customHeight="1" x14ac:dyDescent="0.3">
      <c r="A2156" t="s">
        <v>182</v>
      </c>
      <c r="B2156" s="2">
        <v>46204</v>
      </c>
      <c r="C2156">
        <v>6980.78</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customHeight="1" x14ac:dyDescent="0.3">
      <c r="A2192" t="s">
        <v>184</v>
      </c>
      <c r="B2192" s="2">
        <v>46204</v>
      </c>
      <c r="C2192">
        <v>17814.88</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customHeight="1" x14ac:dyDescent="0.3">
      <c r="A2228" t="s">
        <v>186</v>
      </c>
      <c r="B2228" s="2">
        <v>46204</v>
      </c>
      <c r="C2228">
        <v>18234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customHeight="1" x14ac:dyDescent="0.3">
      <c r="A2264" t="s">
        <v>188</v>
      </c>
      <c r="B2264" s="2">
        <v>46204</v>
      </c>
      <c r="C2264">
        <v>9106.9599999999991</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customHeight="1" x14ac:dyDescent="0.3">
      <c r="A2300" t="s">
        <v>226</v>
      </c>
      <c r="B2300" s="2">
        <v>46204</v>
      </c>
      <c r="C2300">
        <v>17999.1711</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customHeight="1" x14ac:dyDescent="0.3">
      <c r="A2336" t="s">
        <v>208</v>
      </c>
      <c r="B2336" s="2">
        <v>46204</v>
      </c>
      <c r="C2336">
        <v>7916.06</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customHeight="1" x14ac:dyDescent="0.3">
      <c r="A2372" t="s">
        <v>190</v>
      </c>
      <c r="B2372" s="2">
        <v>46204</v>
      </c>
      <c r="C2372">
        <v>9713.4699999999993</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customHeight="1" x14ac:dyDescent="0.3">
      <c r="A2444" t="s">
        <v>216</v>
      </c>
      <c r="B2444" s="2">
        <v>46204</v>
      </c>
      <c r="C2444">
        <v>10206</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customHeight="1" x14ac:dyDescent="0.3">
      <c r="A2480" t="s">
        <v>218</v>
      </c>
      <c r="B2480" s="2">
        <v>46204</v>
      </c>
      <c r="C2480">
        <v>4951</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customHeight="1" x14ac:dyDescent="0.3">
      <c r="A2516" t="s">
        <v>192</v>
      </c>
      <c r="B2516" s="2">
        <v>46204</v>
      </c>
      <c r="C2516">
        <v>0</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customHeight="1" x14ac:dyDescent="0.3">
      <c r="A2552" t="s">
        <v>194</v>
      </c>
      <c r="B2552" s="2">
        <v>46204</v>
      </c>
      <c r="C2552">
        <v>2690</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customHeight="1" x14ac:dyDescent="0.3">
      <c r="A2588" t="s">
        <v>196</v>
      </c>
      <c r="B2588" s="2">
        <v>46204</v>
      </c>
      <c r="C2588">
        <v>3037</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x14ac:dyDescent="0.3">
      <c r="A2664" t="s">
        <v>199</v>
      </c>
      <c r="B2664" s="2">
        <v>46204</v>
      </c>
      <c r="C2664">
        <v>2200.69</v>
      </c>
    </row>
    <row r="2665" spans="1:3" hidden="1" x14ac:dyDescent="0.3">
      <c r="A2665" t="s">
        <v>271</v>
      </c>
      <c r="B2665" s="2">
        <v>46235</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x14ac:dyDescent="0.3">
      <c r="A2699" t="s">
        <v>201</v>
      </c>
      <c r="B2699" s="2">
        <v>46204</v>
      </c>
      <c r="C2699">
        <v>9893.59</v>
      </c>
    </row>
    <row r="2700" spans="1:3" hidden="1" x14ac:dyDescent="0.3">
      <c r="A2700" t="s">
        <v>250</v>
      </c>
      <c r="B2700" s="2">
        <v>46235</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x14ac:dyDescent="0.3">
      <c r="A2705" t="s">
        <v>211</v>
      </c>
      <c r="B2705" s="2">
        <v>46204</v>
      </c>
      <c r="C2705">
        <v>2292.6909999999998</v>
      </c>
    </row>
    <row r="2706" spans="1:3" x14ac:dyDescent="0.3">
      <c r="A2706" t="s">
        <v>1004</v>
      </c>
      <c r="B2706" s="2">
        <v>46204</v>
      </c>
      <c r="C2706">
        <v>4094.8841000000002</v>
      </c>
    </row>
    <row r="2707" spans="1:3" x14ac:dyDescent="0.3">
      <c r="A2707" t="s">
        <v>202</v>
      </c>
      <c r="B2707" s="2">
        <v>46204</v>
      </c>
      <c r="C2707">
        <v>14705</v>
      </c>
    </row>
    <row r="2708" spans="1:3" x14ac:dyDescent="0.3">
      <c r="A2708" t="s">
        <v>206</v>
      </c>
      <c r="B2708" s="2">
        <v>46204</v>
      </c>
      <c r="C2708">
        <v>0</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zoomScaleNormal="100" workbookViewId="0">
      <selection activeCell="F19" sqref="F19"/>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6" ht="15"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2"/>
        <v/>
      </c>
      <c r="F33" t="str">
        <f t="shared" si="3"/>
        <v/>
      </c>
    </row>
    <row r="34" spans="1:6" ht="15"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6" ht="15"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6" ht="15"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6" ht="15"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6" ht="15"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6" ht="15"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6" ht="15"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6" ht="15"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6" ht="15"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6" ht="15"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6" ht="15"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6" ht="15"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6" ht="15"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6" ht="15"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6" ht="15"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7" ht="15"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4"/>
        <v/>
      </c>
      <c r="F105" t="str">
        <f t="shared" si="5"/>
        <v/>
      </c>
    </row>
    <row r="106" spans="1:7" ht="15"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7" ht="15"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6" ht="15"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6"/>
        <v/>
      </c>
      <c r="F177" t="str">
        <f t="shared" si="7"/>
        <v/>
      </c>
    </row>
    <row r="178" spans="1:6" ht="15"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6" ht="15"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6" ht="15"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6" ht="15"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6" ht="15"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6" ht="15"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6" ht="15"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6" ht="15"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6" ht="15"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6" ht="15"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6" ht="15"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6" ht="15"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6" ht="15"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6" ht="15"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6" ht="15"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7" ht="15"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8"/>
        <v/>
      </c>
      <c r="F249" t="str">
        <f t="shared" si="9"/>
        <v/>
      </c>
    </row>
    <row r="250" spans="1:7" ht="15"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7" ht="15"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6" ht="15"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10"/>
        <v/>
      </c>
      <c r="F321" t="str">
        <f t="shared" si="11"/>
        <v/>
      </c>
    </row>
    <row r="322" spans="1:6" ht="15"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6" ht="15"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2"/>
        <v/>
      </c>
      <c r="F357" t="str">
        <f t="shared" si="13"/>
        <v/>
      </c>
    </row>
    <row r="358" spans="1:7" ht="15"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7" ht="15"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4"/>
        <v/>
      </c>
      <c r="F429" t="str">
        <f t="shared" si="15"/>
        <v/>
      </c>
    </row>
    <row r="430" spans="1:7" ht="15"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6" ht="15"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6"/>
        <v/>
      </c>
      <c r="F501" t="str">
        <f t="shared" si="17"/>
        <v/>
      </c>
    </row>
    <row r="502" spans="1:7" ht="15"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7" ht="15"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8"/>
        <v/>
      </c>
      <c r="F573" t="str">
        <f t="shared" si="19"/>
        <v/>
      </c>
    </row>
    <row r="574" spans="1:7" ht="15"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20"/>
        <v/>
      </c>
      <c r="F609" t="str">
        <f t="shared" si="21"/>
        <v/>
      </c>
    </row>
    <row r="610" spans="1:6" ht="15"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7" ht="15"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2"/>
        <v/>
      </c>
      <c r="F681" t="str">
        <f t="shared" si="23"/>
        <v/>
      </c>
    </row>
    <row r="682" spans="1:7" ht="15"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7" ht="15"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t="str">
        <f t="shared" si="26"/>
        <v/>
      </c>
      <c r="F790" t="str">
        <f t="shared" si="27"/>
        <v/>
      </c>
    </row>
    <row r="791" spans="1:7" ht="15"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t="str">
        <f t="shared" si="26"/>
        <v/>
      </c>
      <c r="F826" t="str">
        <f t="shared" si="27"/>
        <v/>
      </c>
    </row>
    <row r="827" spans="1:7" ht="15"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874</v>
      </c>
    </row>
    <row r="862" spans="1:7" ht="15" customHeight="1" x14ac:dyDescent="0.3">
      <c r="A862" t="s">
        <v>113</v>
      </c>
      <c r="B862" s="2">
        <v>46235</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t="str">
        <f t="shared" si="28"/>
        <v/>
      </c>
      <c r="F862" t="str">
        <f t="shared" si="29"/>
        <v/>
      </c>
    </row>
    <row r="863" spans="1:7" ht="15"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customHeight="1" x14ac:dyDescent="0.3">
      <c r="A897" t="s">
        <v>114</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t="str">
        <f t="shared" si="30"/>
        <v/>
      </c>
      <c r="F897" t="str">
        <f t="shared" si="31"/>
        <v/>
      </c>
    </row>
    <row r="898" spans="1:6" ht="15"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t="str">
        <f t="shared" si="30"/>
        <v/>
      </c>
      <c r="F933" t="str">
        <f t="shared" si="31"/>
        <v/>
      </c>
    </row>
    <row r="934" spans="1:7" ht="15"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t="str">
        <f t="shared" si="32"/>
        <v/>
      </c>
      <c r="F969" t="str">
        <f t="shared" si="33"/>
        <v/>
      </c>
    </row>
    <row r="970" spans="1:7" ht="15"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2"/>
        <v/>
      </c>
      <c r="F1005" t="str">
        <f t="shared" si="33"/>
        <v/>
      </c>
    </row>
    <row r="1006" spans="1:7" ht="15"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customHeight="1" x14ac:dyDescent="0.3">
      <c r="A1041" t="s">
        <v>120</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t="str">
        <f t="shared" si="34"/>
        <v/>
      </c>
      <c r="F1041" t="str">
        <f t="shared" si="35"/>
        <v/>
      </c>
    </row>
    <row r="1042" spans="1:6" ht="15"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t="str">
        <f t="shared" si="36"/>
        <v/>
      </c>
      <c r="F1113" t="str">
        <f t="shared" si="37"/>
        <v/>
      </c>
    </row>
    <row r="1114" spans="1:7" ht="15"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t="str">
        <f t="shared" si="38"/>
        <v/>
      </c>
      <c r="F1149" t="str">
        <f t="shared" si="39"/>
        <v/>
      </c>
    </row>
    <row r="1150" spans="1:7" ht="15"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6" ht="15" customHeight="1" x14ac:dyDescent="0.3">
      <c r="A1185" t="s">
        <v>127</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t="str">
        <f t="shared" si="38"/>
        <v/>
      </c>
      <c r="F1185" t="str">
        <f t="shared" si="39"/>
        <v/>
      </c>
    </row>
    <row r="1186" spans="1:6" ht="15"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6" ht="15"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6" ht="15"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6" ht="15"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6" ht="15"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6" ht="15"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6" ht="15"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6" ht="15"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6" ht="15"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6" ht="15"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6" ht="15"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6" ht="15"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6" ht="15"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6" ht="15"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6" ht="15"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t="str">
        <f t="shared" si="40"/>
        <v/>
      </c>
      <c r="F1221" t="str">
        <f t="shared" si="41"/>
        <v/>
      </c>
    </row>
    <row r="1222" spans="1:7" ht="15"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t="str">
        <f t="shared" si="40"/>
        <v/>
      </c>
      <c r="F1257" t="str">
        <f t="shared" si="41"/>
        <v/>
      </c>
    </row>
    <row r="1258" spans="1:7" ht="15"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t="str">
        <f t="shared" si="42"/>
        <v/>
      </c>
      <c r="F1293" t="str">
        <f t="shared" si="43"/>
        <v/>
      </c>
    </row>
    <row r="1294" spans="1:7" ht="15"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6"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row>
    <row r="1330" spans="1:6" ht="15"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6" ht="15"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6" ht="15"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6" ht="15"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6" ht="15"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6" ht="15"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6" ht="15"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6" ht="15"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6" ht="15"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6" ht="15"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6" ht="15"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6" ht="15"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6" ht="15"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6" ht="15"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6" ht="15"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t="str">
        <f t="shared" si="44"/>
        <v/>
      </c>
      <c r="F1365" t="str">
        <f t="shared" si="45"/>
        <v/>
      </c>
    </row>
    <row r="1366" spans="1:7" ht="15"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t="str">
        <f t="shared" si="44"/>
        <v/>
      </c>
      <c r="F1401" t="str">
        <f t="shared" si="45"/>
        <v/>
      </c>
    </row>
    <row r="1402" spans="1:7" ht="15"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t="str">
        <f t="shared" si="46"/>
        <v/>
      </c>
      <c r="F1437" t="str">
        <f t="shared" si="47"/>
        <v/>
      </c>
    </row>
    <row r="1438" spans="1:7" ht="15"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customHeight="1" x14ac:dyDescent="0.3">
      <c r="A1473" t="s">
        <v>145</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t="str">
        <f t="shared" si="48"/>
        <v/>
      </c>
      <c r="F1473" t="str">
        <f t="shared" si="49"/>
        <v/>
      </c>
    </row>
    <row r="1474" spans="1:6" ht="15"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t="str">
        <f t="shared" si="48"/>
        <v/>
      </c>
      <c r="F1509" t="str">
        <f t="shared" si="49"/>
        <v/>
      </c>
    </row>
    <row r="1510" spans="1:7" ht="15"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t="str">
        <f t="shared" si="50"/>
        <v/>
      </c>
      <c r="F1545" t="str">
        <f t="shared" si="51"/>
        <v/>
      </c>
    </row>
    <row r="1546" spans="1:7" ht="15"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customHeight="1" x14ac:dyDescent="0.3">
      <c r="A1617" t="s">
        <v>157</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t="str">
        <f t="shared" si="52"/>
        <v/>
      </c>
      <c r="F1617" t="str">
        <f t="shared" si="53"/>
        <v/>
      </c>
    </row>
    <row r="1618" spans="1:6" ht="15"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t="str">
        <f t="shared" si="52"/>
        <v/>
      </c>
      <c r="F1653" t="str">
        <f t="shared" si="53"/>
        <v/>
      </c>
    </row>
    <row r="1654" spans="1:7" ht="15"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t="str">
        <f t="shared" si="54"/>
        <v/>
      </c>
      <c r="F1689" t="str">
        <f t="shared" si="55"/>
        <v/>
      </c>
    </row>
    <row r="1690" spans="1:7" ht="15"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t="str">
        <f t="shared" si="56"/>
        <v/>
      </c>
      <c r="F1725" t="str">
        <f t="shared" si="57"/>
        <v/>
      </c>
    </row>
    <row r="1726" spans="1:7" ht="15"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6" ht="15" customHeight="1" x14ac:dyDescent="0.3">
      <c r="A1761" t="s">
        <v>216</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t="str">
        <f t="shared" si="56"/>
        <v/>
      </c>
      <c r="F1761" t="str">
        <f t="shared" si="57"/>
        <v/>
      </c>
    </row>
    <row r="1762" spans="1:6" ht="15"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6" ht="15"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6" ht="15"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6" ht="15"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6" ht="15"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6" ht="15"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6" ht="15"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6" ht="15"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6" ht="15"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6" ht="15"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6" ht="15"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6" ht="15"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6" ht="15"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6" ht="15"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6" ht="15"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t="str">
        <f t="shared" si="58"/>
        <v/>
      </c>
      <c r="F1797" t="str">
        <f t="shared" si="59"/>
        <v/>
      </c>
    </row>
    <row r="1798" spans="1:7" ht="15"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t="str">
        <f t="shared" si="60"/>
        <v/>
      </c>
      <c r="F1869" t="str">
        <f t="shared" si="61"/>
        <v/>
      </c>
    </row>
    <row r="1870" spans="1:7" ht="15"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customHeight="1" x14ac:dyDescent="0.3">
      <c r="A1905" t="s">
        <v>169</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t="str">
        <f t="shared" si="60"/>
        <v/>
      </c>
      <c r="F1905" t="str">
        <f t="shared" si="61"/>
        <v/>
      </c>
    </row>
    <row r="1906" spans="1:6" ht="15"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t="str">
        <f t="shared" si="62"/>
        <v/>
      </c>
      <c r="F1941" t="str">
        <f t="shared" si="63"/>
        <v/>
      </c>
    </row>
    <row r="1942" spans="1:7" ht="15"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t="str">
        <f t="shared" si="62"/>
        <v/>
      </c>
      <c r="F1977" t="str">
        <f t="shared" si="63"/>
        <v/>
      </c>
    </row>
    <row r="1978" spans="1:7" ht="15"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t="str">
        <f t="shared" si="64"/>
        <v/>
      </c>
      <c r="F2013" t="str">
        <f t="shared" si="65"/>
        <v/>
      </c>
    </row>
    <row r="2014" spans="1:7" ht="15"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t="str">
        <f t="shared" si="66"/>
        <v/>
      </c>
      <c r="F2085" t="str">
        <f t="shared" si="67"/>
        <v/>
      </c>
    </row>
    <row r="2086" spans="1:7" ht="15"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t="str">
        <f t="shared" si="68"/>
        <v/>
      </c>
      <c r="F2121" t="str">
        <f t="shared" si="69"/>
        <v/>
      </c>
    </row>
    <row r="2122" spans="1:7" ht="15"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t="str">
        <f t="shared" si="68"/>
        <v/>
      </c>
      <c r="F2157" t="str">
        <f t="shared" si="69"/>
        <v/>
      </c>
    </row>
    <row r="2158" spans="1:7" ht="15"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customHeight="1" x14ac:dyDescent="0.3">
      <c r="A2193" t="s">
        <v>184</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t="str">
        <f t="shared" si="70"/>
        <v/>
      </c>
      <c r="F2193" t="str">
        <f t="shared" si="71"/>
        <v/>
      </c>
    </row>
    <row r="2194" spans="1:6" ht="15"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t="str">
        <f t="shared" si="70"/>
        <v/>
      </c>
      <c r="F2229" t="str">
        <f t="shared" si="71"/>
        <v/>
      </c>
    </row>
    <row r="2230" spans="1:7" ht="15"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874</v>
      </c>
    </row>
    <row r="2265" spans="1:7" ht="15" customHeight="1" x14ac:dyDescent="0.3">
      <c r="A2265" t="s">
        <v>188</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t="str">
        <f t="shared" si="72"/>
        <v/>
      </c>
      <c r="F2265" t="str">
        <f t="shared" si="73"/>
        <v/>
      </c>
    </row>
    <row r="2266" spans="1:7" ht="15"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t="str">
        <f t="shared" si="74"/>
        <v/>
      </c>
      <c r="F2301" t="str">
        <f t="shared" si="75"/>
        <v/>
      </c>
    </row>
    <row r="2302" spans="1:7" ht="15"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customHeight="1" x14ac:dyDescent="0.3">
      <c r="A2337" t="s">
        <v>208</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t="str">
        <f t="shared" si="74"/>
        <v/>
      </c>
      <c r="F2337" t="str">
        <f t="shared" si="75"/>
        <v/>
      </c>
    </row>
    <row r="2338" spans="1:6" ht="15"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t="str">
        <f t="shared" si="76"/>
        <v/>
      </c>
      <c r="F2373" t="str">
        <f t="shared" si="77"/>
        <v/>
      </c>
    </row>
    <row r="2374" spans="1:7" ht="15"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t="str">
        <f t="shared" si="76"/>
        <v/>
      </c>
      <c r="F2409" t="str">
        <f t="shared" si="77"/>
        <v/>
      </c>
    </row>
    <row r="2410" spans="1:7" ht="15"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6" ht="15" customHeight="1" x14ac:dyDescent="0.3">
      <c r="A2481" t="s">
        <v>194</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t="str">
        <f t="shared" si="78"/>
        <v/>
      </c>
      <c r="F2481" t="str">
        <f t="shared" si="79"/>
        <v/>
      </c>
    </row>
    <row r="2482" spans="1:6" ht="15"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6" ht="15"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6" ht="15"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6" ht="15"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6" ht="15"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6" ht="15"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6" ht="15"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6" ht="15"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6" ht="15"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6" ht="15"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6" ht="15"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6" ht="15"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6" ht="15"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6" ht="15"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6" ht="15"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t="str">
        <f t="shared" si="80"/>
        <v/>
      </c>
      <c r="F2517" t="str">
        <f t="shared" si="81"/>
        <v/>
      </c>
    </row>
    <row r="2518" spans="1:7" ht="15"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t="str">
        <f t="shared" si="80"/>
        <v/>
      </c>
      <c r="F2553" t="str">
        <f t="shared" si="81"/>
        <v/>
      </c>
    </row>
    <row r="2554" spans="1:7" ht="15"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t="str">
        <f t="shared" si="82"/>
        <v/>
      </c>
      <c r="F2589" t="str">
        <f t="shared" si="83"/>
        <v/>
      </c>
    </row>
    <row r="2590" spans="1:7" ht="15"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customHeight="1" x14ac:dyDescent="0.3">
      <c r="A2625" t="s">
        <v>202</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t="str">
        <f t="shared" si="84"/>
        <v/>
      </c>
      <c r="F2625" t="str">
        <f t="shared" si="85"/>
        <v/>
      </c>
    </row>
    <row r="2626" spans="1:6" ht="15"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t="str" cm="1">
        <f t="array" ref="C2697">IFERROR(IF(SUMPRODUCT((measured[Site Name]=A2697)*(measured[Date]=B2697)*ISNUMBER(measured[Measured Value (kWh)]))=0,"",SUMIFS(measured[Measured Value (kWh)],measured[Site Name],A2697,measured[Date],B2697)),"")</f>
        <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t="str">
        <f t="shared" si="86"/>
        <v/>
      </c>
      <c r="F2697" t="str">
        <f t="shared" si="87"/>
        <v/>
      </c>
    </row>
    <row r="2698" spans="1:7"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t="str">
        <f t="shared" si="86"/>
        <v/>
      </c>
      <c r="F2733" t="str">
        <f t="shared" si="87"/>
        <v/>
      </c>
    </row>
    <row r="2734" spans="1:7"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t="str">
        <f t="shared" ref="E2769:E2772" si="90">IF(OR(C2769="",D2769="",D2769=0),"",C2769/D2769)</f>
        <v/>
      </c>
      <c r="F2769" t="str">
        <f t="shared" ref="F2769:F2772" si="91">IF(E2769="","",IF(E2769&gt;=0.9,"Expected",IF(E2769&gt;=0.7,"Moderate","Poor")))</f>
        <v/>
      </c>
    </row>
    <row r="2770" spans="1:7"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t="str">
        <f t="shared" si="92"/>
        <v/>
      </c>
      <c r="F2775" t="str">
        <f t="shared" si="93"/>
        <v/>
      </c>
    </row>
    <row r="2776" spans="1:7"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2026-08-19T07:44:44Z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